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loulelou\Downloads\"/>
    </mc:Choice>
  </mc:AlternateContent>
  <xr:revisionPtr revIDLastSave="0" documentId="13_ncr:1_{D970EF21-8872-49C6-BBA1-CFC546D6492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1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2" l="1"/>
  <c r="M15" i="2"/>
  <c r="O10" i="2"/>
  <c r="L10" i="2"/>
  <c r="M10" i="2"/>
  <c r="O9" i="2"/>
  <c r="O7" i="2"/>
  <c r="O6" i="2"/>
  <c r="O5" i="2"/>
  <c r="O9" i="1"/>
  <c r="O7" i="1"/>
  <c r="O6" i="1"/>
  <c r="O5" i="1"/>
  <c r="M1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5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Oct.9-Dec.11
</t>
        </r>
      </text>
    </comment>
    <comment ref="L6" authorId="0" shapeId="0" xr:uid="{00000000-0006-0000-0000-000002000000}">
      <text>
        <r>
          <rPr>
            <sz val="10"/>
            <color rgb="FF000000"/>
            <rFont val="Arial"/>
            <scheme val="minor"/>
          </rPr>
          <t>Mar.9-Oct.31,2024</t>
        </r>
      </text>
    </comment>
    <comment ref="L7" authorId="0" shapeId="0" xr:uid="{00000000-0006-0000-0000-000003000000}">
      <text>
        <r>
          <rPr>
            <sz val="10"/>
            <color rgb="FF000000"/>
            <rFont val="Arial"/>
            <scheme val="minor"/>
          </rPr>
          <t>Sep.30-Dec.10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5" authorId="0" shapeId="0" xr:uid="{F6CF9570-3E10-477C-825F-05293F4D2C84}">
      <text>
        <r>
          <rPr>
            <sz val="10"/>
            <color rgb="FF000000"/>
            <rFont val="Arial"/>
            <scheme val="minor"/>
          </rPr>
          <t xml:space="preserve">Oct.9-Dec.11
</t>
        </r>
      </text>
    </comment>
    <comment ref="L6" authorId="0" shapeId="0" xr:uid="{C4B7B329-F0BD-4FF5-A162-BCB4108490C4}">
      <text>
        <r>
          <rPr>
            <sz val="10"/>
            <color rgb="FF000000"/>
            <rFont val="Arial"/>
            <scheme val="minor"/>
          </rPr>
          <t>Mar.9-Oct.31,2024</t>
        </r>
      </text>
    </comment>
    <comment ref="L7" authorId="0" shapeId="0" xr:uid="{26D13273-8138-4DC8-B212-06ECAE5262C9}">
      <text>
        <r>
          <rPr>
            <sz val="10"/>
            <color rgb="FF000000"/>
            <rFont val="Arial"/>
            <scheme val="minor"/>
          </rPr>
          <t>Sep.30-Dec.10</t>
        </r>
      </text>
    </comment>
  </commentList>
</comments>
</file>

<file path=xl/sharedStrings.xml><?xml version="1.0" encoding="utf-8"?>
<sst xmlns="http://schemas.openxmlformats.org/spreadsheetml/2006/main" count="404" uniqueCount="99">
  <si>
    <t>Pipeline</t>
  </si>
  <si>
    <t>Deal Name</t>
  </si>
  <si>
    <t>Date Registered</t>
  </si>
  <si>
    <t>Program Advisor</t>
  </si>
  <si>
    <t>Docs Officer</t>
  </si>
  <si>
    <t>School</t>
  </si>
  <si>
    <t>Intended Intake</t>
  </si>
  <si>
    <t>FallOut</t>
  </si>
  <si>
    <t>Reason for Withdrawal</t>
  </si>
  <si>
    <t>Canada Study Program</t>
  </si>
  <si>
    <t>Patricia Louse Baylosis</t>
  </si>
  <si>
    <t>Arvie</t>
  </si>
  <si>
    <t>Mark</t>
  </si>
  <si>
    <t>Centennial College</t>
  </si>
  <si>
    <t xml:space="preserve">Confirmed </t>
  </si>
  <si>
    <t>The client preferred a different school. Despite giving options, the client rejected them</t>
  </si>
  <si>
    <t>Wilmar Navarro</t>
  </si>
  <si>
    <t>Rem</t>
  </si>
  <si>
    <t>Due to insufficient funds</t>
  </si>
  <si>
    <t>Mia May Sora</t>
  </si>
  <si>
    <t>Don</t>
  </si>
  <si>
    <t>Renz</t>
  </si>
  <si>
    <t>UNFC</t>
  </si>
  <si>
    <t>Pipelines</t>
  </si>
  <si>
    <t xml:space="preserve"> Deals Registered</t>
  </si>
  <si>
    <t>Confirmed Fallout</t>
  </si>
  <si>
    <t>Possible Fallout</t>
  </si>
  <si>
    <t>Fallout Rate</t>
  </si>
  <si>
    <t>Gela Mae Satorre</t>
  </si>
  <si>
    <t>Canada</t>
  </si>
  <si>
    <t>Romanito Llanillo</t>
  </si>
  <si>
    <t>Ontario Tech Univ</t>
  </si>
  <si>
    <t>No longer interested as noted by PA on hubs</t>
  </si>
  <si>
    <t>UK</t>
  </si>
  <si>
    <t>Lady Jenn Sanchez</t>
  </si>
  <si>
    <t>Did not respond as noted by PA on hubs</t>
  </si>
  <si>
    <t>Singapore</t>
  </si>
  <si>
    <t>Harry Larson Saludares Jr.</t>
  </si>
  <si>
    <t>Roy</t>
  </si>
  <si>
    <t>Possible</t>
  </si>
  <si>
    <t>Never responded to the welcome email and messenger</t>
  </si>
  <si>
    <t>Hiza De la Cruz</t>
  </si>
  <si>
    <t>Joanne</t>
  </si>
  <si>
    <t>Douglas College</t>
  </si>
  <si>
    <t>Thinking if she has enough funds for the tuition fees</t>
  </si>
  <si>
    <t>NZ</t>
  </si>
  <si>
    <t>Willyn Osio</t>
  </si>
  <si>
    <t>Client's sister decided to apply her to caregiver program</t>
  </si>
  <si>
    <t>UK Study Program</t>
  </si>
  <si>
    <t>Loida Haak</t>
  </si>
  <si>
    <t>Venus</t>
  </si>
  <si>
    <t>USW</t>
  </si>
  <si>
    <t>Due to medical reasons</t>
  </si>
  <si>
    <t>Anna Dominic Dar</t>
  </si>
  <si>
    <t>LBU</t>
  </si>
  <si>
    <t>Due to insufficient funds and cannot provide requirements on time</t>
  </si>
  <si>
    <t>Raul Vincent Alferez</t>
  </si>
  <si>
    <t>DMU</t>
  </si>
  <si>
    <t>Due to thesis-based program. Client cannot complete the personal statement</t>
  </si>
  <si>
    <t>Marina Cuadra</t>
  </si>
  <si>
    <t>Ianna</t>
  </si>
  <si>
    <t>Roel Teodoro</t>
  </si>
  <si>
    <t>Kevin</t>
  </si>
  <si>
    <t>PS Kobe</t>
  </si>
  <si>
    <t>English Proficiency Requirement</t>
  </si>
  <si>
    <t>Cynthia Dehillo</t>
  </si>
  <si>
    <t>Genelyn Arida</t>
  </si>
  <si>
    <t>Due to personal reasons</t>
  </si>
  <si>
    <t>Ma. Madelyn Tablazon</t>
  </si>
  <si>
    <t>Portsmouth</t>
  </si>
  <si>
    <t>Due to busy work schedule and medical reasons</t>
  </si>
  <si>
    <t>John Christian Rayo</t>
  </si>
  <si>
    <t>Jacquest S. Pangasinan</t>
  </si>
  <si>
    <t>Maria Fe Karidad Enriquez</t>
  </si>
  <si>
    <t>Already has a UK Tourist Visa, but will pursue UK Study for Fall 2025</t>
  </si>
  <si>
    <t>Rainer Tacusalme Chico</t>
  </si>
  <si>
    <t>Rose</t>
  </si>
  <si>
    <t>Richmond</t>
  </si>
  <si>
    <t>Marivel Maghanoy</t>
  </si>
  <si>
    <t>Katma</t>
  </si>
  <si>
    <t>Ralph</t>
  </si>
  <si>
    <t>Maritoni Casamis</t>
  </si>
  <si>
    <t>RG</t>
  </si>
  <si>
    <t>Kate</t>
  </si>
  <si>
    <t>Leny Donggon</t>
  </si>
  <si>
    <t>The student was not eligible for Master's in DMU, suggested to take Pre-Masters instead but decided to put on hold</t>
  </si>
  <si>
    <t>Mary Diane Meneses</t>
  </si>
  <si>
    <t>Singapore - Study Program</t>
  </si>
  <si>
    <t>Ray Kevin Ruferos</t>
  </si>
  <si>
    <t>AceTek</t>
  </si>
  <si>
    <t>Unresponsive</t>
  </si>
  <si>
    <t>Other programs</t>
  </si>
  <si>
    <t>TOTAL</t>
  </si>
  <si>
    <t>Different school</t>
  </si>
  <si>
    <t>Reason</t>
  </si>
  <si>
    <t>Ineligible</t>
  </si>
  <si>
    <t>Others</t>
  </si>
  <si>
    <t>Data until December 11 2024 only</t>
  </si>
  <si>
    <t>Insufficient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</si>
</sst>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mmmm\ yyyy"/>
    <numFmt numFmtId="166" formatCode="mm/dd/yyyy"/>
  </numFmts>
  <fonts count="12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7"/>
      <color theme="1"/>
      <name val="Arial"/>
      <scheme val="minor"/>
    </font>
    <font>
      <sz val="9"/>
      <color theme="1"/>
      <name val="Arial"/>
      <scheme val="minor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i/>
      <u/>
      <sz val="12"/>
      <color theme="1"/>
      <name val="Arial"/>
      <family val="2"/>
      <scheme val="minor"/>
    </font>
    <font>
      <i/>
      <sz val="1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/>
    <xf numFmtId="0" fontId="2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10" fontId="4" fillId="0" borderId="6" xfId="0" applyNumberFormat="1" applyFont="1" applyBorder="1"/>
    <xf numFmtId="0" fontId="5" fillId="0" borderId="1" xfId="0" applyFont="1" applyBorder="1"/>
    <xf numFmtId="0" fontId="6" fillId="0" borderId="1" xfId="0" applyFont="1" applyBorder="1"/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center"/>
    </xf>
    <xf numFmtId="10" fontId="4" fillId="0" borderId="9" xfId="0" applyNumberFormat="1" applyFont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0" fontId="4" fillId="0" borderId="0" xfId="0" applyNumberFormat="1" applyFont="1"/>
    <xf numFmtId="166" fontId="2" fillId="0" borderId="1" xfId="0" applyNumberFormat="1" applyFont="1" applyBorder="1"/>
    <xf numFmtId="0" fontId="7" fillId="0" borderId="1" xfId="0" applyFont="1" applyBorder="1"/>
    <xf numFmtId="0" fontId="8" fillId="3" borderId="16" xfId="0" applyFont="1" applyFill="1" applyBorder="1" applyAlignment="1">
      <alignment horizontal="center"/>
    </xf>
    <xf numFmtId="0" fontId="9" fillId="3" borderId="17" xfId="0" applyFont="1" applyFill="1" applyBorder="1" applyAlignment="1">
      <alignment horizontal="center"/>
    </xf>
    <xf numFmtId="0" fontId="9" fillId="0" borderId="18" xfId="0" applyFont="1" applyBorder="1"/>
    <xf numFmtId="0" fontId="9" fillId="0" borderId="19" xfId="0" applyFont="1" applyBorder="1"/>
    <xf numFmtId="0" fontId="10" fillId="0" borderId="20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10" fontId="9" fillId="0" borderId="6" xfId="0" applyNumberFormat="1" applyFont="1" applyBorder="1"/>
    <xf numFmtId="0" fontId="9" fillId="0" borderId="10" xfId="0" applyFont="1" applyBorder="1" applyAlignment="1">
      <alignment horizontal="left"/>
    </xf>
    <xf numFmtId="0" fontId="9" fillId="0" borderId="11" xfId="0" applyFont="1" applyBorder="1" applyAlignment="1">
      <alignment horizontal="center"/>
    </xf>
    <xf numFmtId="10" fontId="9" fillId="0" borderId="12" xfId="0" applyNumberFormat="1" applyFont="1" applyBorder="1"/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10" fontId="10" fillId="0" borderId="15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10" fontId="9" fillId="0" borderId="0" xfId="0" applyNumberFormat="1" applyFont="1"/>
    <xf numFmtId="0" fontId="9" fillId="0" borderId="0" xfId="0" applyFont="1"/>
    <xf numFmtId="0" fontId="1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PH" b="1">
                <a:solidFill>
                  <a:srgbClr val="000000"/>
                </a:solidFill>
                <a:latin typeface="+mn-lt"/>
              </a:rPr>
              <a:t>Free Registration Fall Out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Sheet1!$L$4</c:f>
              <c:strCache>
                <c:ptCount val="1"/>
                <c:pt idx="0">
                  <c:v> Deals Registered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Sheet1!$K$5:$K$9</c:f>
              <c:strCache>
                <c:ptCount val="5"/>
                <c:pt idx="0">
                  <c:v>Canada</c:v>
                </c:pt>
                <c:pt idx="1">
                  <c:v>UK</c:v>
                </c:pt>
                <c:pt idx="2">
                  <c:v>Singapore</c:v>
                </c:pt>
                <c:pt idx="4">
                  <c:v>NZ</c:v>
                </c:pt>
              </c:strCache>
            </c:strRef>
          </c:cat>
          <c:val>
            <c:numRef>
              <c:f>Sheet1!$L$5:$L$9</c:f>
              <c:numCache>
                <c:formatCode>General</c:formatCode>
                <c:ptCount val="5"/>
                <c:pt idx="0">
                  <c:v>44</c:v>
                </c:pt>
                <c:pt idx="1">
                  <c:v>28</c:v>
                </c:pt>
                <c:pt idx="2">
                  <c:v>16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136-4F3F-B487-CBC20B2FB5F4}"/>
            </c:ext>
          </c:extLst>
        </c:ser>
        <c:ser>
          <c:idx val="1"/>
          <c:order val="1"/>
          <c:tx>
            <c:strRef>
              <c:f>Sheet1!$M$4</c:f>
              <c:strCache>
                <c:ptCount val="1"/>
                <c:pt idx="0">
                  <c:v>Confirmed Fallout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Sheet1!$K$5:$K$9</c:f>
              <c:strCache>
                <c:ptCount val="5"/>
                <c:pt idx="0">
                  <c:v>Canada</c:v>
                </c:pt>
                <c:pt idx="1">
                  <c:v>UK</c:v>
                </c:pt>
                <c:pt idx="2">
                  <c:v>Singapore</c:v>
                </c:pt>
                <c:pt idx="4">
                  <c:v>NZ</c:v>
                </c:pt>
              </c:strCache>
            </c:strRef>
          </c:cat>
          <c:val>
            <c:numRef>
              <c:f>Sheet1!$M$5:$M$9</c:f>
              <c:numCache>
                <c:formatCode>General</c:formatCode>
                <c:ptCount val="5"/>
                <c:pt idx="0">
                  <c:v>9</c:v>
                </c:pt>
                <c:pt idx="1">
                  <c:v>16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136-4F3F-B487-CBC20B2FB5F4}"/>
            </c:ext>
          </c:extLst>
        </c:ser>
        <c:ser>
          <c:idx val="2"/>
          <c:order val="2"/>
          <c:tx>
            <c:strRef>
              <c:f>Sheet1!$N$4</c:f>
              <c:strCache>
                <c:ptCount val="1"/>
                <c:pt idx="0">
                  <c:v>Possible Fallout</c:v>
                </c:pt>
              </c:strCache>
            </c:strRef>
          </c:tx>
          <c:invertIfNegative val="1"/>
          <c:cat>
            <c:strRef>
              <c:f>Sheet1!$K$5:$K$9</c:f>
              <c:strCache>
                <c:ptCount val="5"/>
                <c:pt idx="0">
                  <c:v>Canada</c:v>
                </c:pt>
                <c:pt idx="1">
                  <c:v>UK</c:v>
                </c:pt>
                <c:pt idx="2">
                  <c:v>Singapore</c:v>
                </c:pt>
                <c:pt idx="4">
                  <c:v>NZ</c:v>
                </c:pt>
              </c:strCache>
            </c:strRef>
          </c:cat>
          <c:val>
            <c:numRef>
              <c:f>Sheet1!$N$5:$N$9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5136-4F3F-B487-CBC20B2FB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71986264"/>
        <c:axId val="486422909"/>
        <c:axId val="0"/>
      </c:bar3DChart>
      <c:catAx>
        <c:axId val="871986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86422909"/>
        <c:crosses val="autoZero"/>
        <c:auto val="1"/>
        <c:lblAlgn val="ctr"/>
        <c:lblOffset val="100"/>
        <c:noMultiLvlLbl val="1"/>
      </c:catAx>
      <c:valAx>
        <c:axId val="4864229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7198626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PH" b="1">
                <a:solidFill>
                  <a:srgbClr val="000000"/>
                </a:solidFill>
                <a:latin typeface="+mn-lt"/>
              </a:rPr>
              <a:t>Free Registration Fall Out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'Sheet1 (2)'!$L$4</c:f>
              <c:strCache>
                <c:ptCount val="1"/>
                <c:pt idx="0">
                  <c:v> Deals Registered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'Sheet1 (2)'!$K$5:$K$9</c:f>
              <c:strCache>
                <c:ptCount val="5"/>
                <c:pt idx="0">
                  <c:v>Canada</c:v>
                </c:pt>
                <c:pt idx="1">
                  <c:v>UK</c:v>
                </c:pt>
                <c:pt idx="2">
                  <c:v>Singapore</c:v>
                </c:pt>
                <c:pt idx="4">
                  <c:v>NZ</c:v>
                </c:pt>
              </c:strCache>
            </c:strRef>
          </c:cat>
          <c:val>
            <c:numRef>
              <c:f>'Sheet1 (2)'!$L$5:$L$9</c:f>
              <c:numCache>
                <c:formatCode>General</c:formatCode>
                <c:ptCount val="5"/>
                <c:pt idx="0">
                  <c:v>44</c:v>
                </c:pt>
                <c:pt idx="1">
                  <c:v>28</c:v>
                </c:pt>
                <c:pt idx="2">
                  <c:v>16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ECC-478F-BB0F-52B91D6CC663}"/>
            </c:ext>
          </c:extLst>
        </c:ser>
        <c:ser>
          <c:idx val="1"/>
          <c:order val="1"/>
          <c:tx>
            <c:strRef>
              <c:f>'Sheet1 (2)'!$M$4</c:f>
              <c:strCache>
                <c:ptCount val="1"/>
                <c:pt idx="0">
                  <c:v>Confirmed Fallout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'Sheet1 (2)'!$K$5:$K$9</c:f>
              <c:strCache>
                <c:ptCount val="5"/>
                <c:pt idx="0">
                  <c:v>Canada</c:v>
                </c:pt>
                <c:pt idx="1">
                  <c:v>UK</c:v>
                </c:pt>
                <c:pt idx="2">
                  <c:v>Singapore</c:v>
                </c:pt>
                <c:pt idx="4">
                  <c:v>NZ</c:v>
                </c:pt>
              </c:strCache>
            </c:strRef>
          </c:cat>
          <c:val>
            <c:numRef>
              <c:f>'Sheet1 (2)'!$M$5:$M$9</c:f>
              <c:numCache>
                <c:formatCode>General</c:formatCode>
                <c:ptCount val="5"/>
                <c:pt idx="0">
                  <c:v>9</c:v>
                </c:pt>
                <c:pt idx="1">
                  <c:v>16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ECC-478F-BB0F-52B91D6CC663}"/>
            </c:ext>
          </c:extLst>
        </c:ser>
        <c:ser>
          <c:idx val="2"/>
          <c:order val="2"/>
          <c:tx>
            <c:strRef>
              <c:f>'Sheet1 (2)'!$N$4</c:f>
              <c:strCache>
                <c:ptCount val="1"/>
                <c:pt idx="0">
                  <c:v>Possible Fallout</c:v>
                </c:pt>
              </c:strCache>
            </c:strRef>
          </c:tx>
          <c:invertIfNegative val="1"/>
          <c:cat>
            <c:strRef>
              <c:f>'Sheet1 (2)'!$K$5:$K$9</c:f>
              <c:strCache>
                <c:ptCount val="5"/>
                <c:pt idx="0">
                  <c:v>Canada</c:v>
                </c:pt>
                <c:pt idx="1">
                  <c:v>UK</c:v>
                </c:pt>
                <c:pt idx="2">
                  <c:v>Singapore</c:v>
                </c:pt>
                <c:pt idx="4">
                  <c:v>NZ</c:v>
                </c:pt>
              </c:strCache>
            </c:strRef>
          </c:cat>
          <c:val>
            <c:numRef>
              <c:f>'Sheet1 (2)'!$N$5:$N$9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FECC-478F-BB0F-52B91D6CC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71986264"/>
        <c:axId val="486422909"/>
        <c:axId val="0"/>
      </c:bar3DChart>
      <c:catAx>
        <c:axId val="871986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86422909"/>
        <c:crosses val="autoZero"/>
        <c:auto val="1"/>
        <c:lblAlgn val="ctr"/>
        <c:lblOffset val="100"/>
        <c:noMultiLvlLbl val="1"/>
      </c:catAx>
      <c:valAx>
        <c:axId val="4864229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7198626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9525</xdr:colOff>
      <xdr:row>11</xdr:row>
      <xdr:rowOff>190500</xdr:rowOff>
    </xdr:from>
    <xdr:ext cx="4229100" cy="26193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828675</xdr:colOff>
      <xdr:row>27</xdr:row>
      <xdr:rowOff>104775</xdr:rowOff>
    </xdr:from>
    <xdr:ext cx="4229100" cy="26193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876C5233-9FA3-4E64-B486-D9AF7FBE1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5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28.85546875" customWidth="1"/>
    <col min="2" max="2" width="24.7109375" customWidth="1"/>
    <col min="3" max="4" width="14.42578125" customWidth="1"/>
    <col min="5" max="5" width="14.7109375" customWidth="1"/>
    <col min="6" max="6" width="19.140625" customWidth="1"/>
    <col min="7" max="8" width="15.42578125" customWidth="1"/>
    <col min="9" max="9" width="51.85546875" customWidth="1"/>
    <col min="12" max="12" width="9.42578125" customWidth="1"/>
    <col min="13" max="13" width="9.5703125" customWidth="1"/>
    <col min="14" max="14" width="9.42578125" customWidth="1"/>
    <col min="15" max="15" width="9.28515625" customWidth="1"/>
  </cols>
  <sheetData>
    <row r="1" spans="1:17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</row>
    <row r="2" spans="1:17" ht="12.75" x14ac:dyDescent="0.2">
      <c r="A2" s="3" t="s">
        <v>9</v>
      </c>
      <c r="B2" s="4" t="s">
        <v>10</v>
      </c>
      <c r="C2" s="5">
        <v>45576</v>
      </c>
      <c r="D2" s="6" t="s">
        <v>11</v>
      </c>
      <c r="E2" s="6" t="s">
        <v>12</v>
      </c>
      <c r="F2" s="4" t="s">
        <v>13</v>
      </c>
      <c r="G2" s="7">
        <v>45901</v>
      </c>
      <c r="H2" s="4" t="s">
        <v>14</v>
      </c>
      <c r="I2" s="4" t="s">
        <v>15</v>
      </c>
      <c r="J2" s="8"/>
      <c r="K2" s="8"/>
      <c r="L2" s="8"/>
      <c r="M2" s="8"/>
      <c r="N2" s="8"/>
      <c r="O2" s="8"/>
      <c r="P2" s="8"/>
      <c r="Q2" s="8"/>
    </row>
    <row r="3" spans="1:17" ht="12.75" x14ac:dyDescent="0.2">
      <c r="A3" s="3" t="s">
        <v>9</v>
      </c>
      <c r="B3" s="4" t="s">
        <v>16</v>
      </c>
      <c r="C3" s="5">
        <v>45579</v>
      </c>
      <c r="D3" s="6" t="s">
        <v>11</v>
      </c>
      <c r="E3" s="6" t="s">
        <v>17</v>
      </c>
      <c r="F3" s="4" t="s">
        <v>13</v>
      </c>
      <c r="G3" s="7">
        <v>45778</v>
      </c>
      <c r="H3" s="4" t="s">
        <v>14</v>
      </c>
      <c r="I3" s="4" t="s">
        <v>18</v>
      </c>
      <c r="J3" s="8"/>
      <c r="K3" s="8"/>
      <c r="L3" s="8"/>
      <c r="M3" s="8"/>
      <c r="N3" s="8"/>
      <c r="O3" s="8"/>
      <c r="P3" s="8"/>
      <c r="Q3" s="8"/>
    </row>
    <row r="4" spans="1:17" ht="17.25" customHeight="1" x14ac:dyDescent="0.2">
      <c r="A4" s="3" t="s">
        <v>9</v>
      </c>
      <c r="B4" s="4" t="s">
        <v>19</v>
      </c>
      <c r="C4" s="5">
        <v>45604</v>
      </c>
      <c r="D4" s="6" t="s">
        <v>20</v>
      </c>
      <c r="E4" s="6" t="s">
        <v>21</v>
      </c>
      <c r="F4" s="4" t="s">
        <v>22</v>
      </c>
      <c r="G4" s="7">
        <v>45901</v>
      </c>
      <c r="H4" s="4" t="s">
        <v>14</v>
      </c>
      <c r="I4" s="4" t="s">
        <v>18</v>
      </c>
      <c r="J4" s="8"/>
      <c r="K4" s="9" t="s">
        <v>23</v>
      </c>
      <c r="L4" s="10" t="s">
        <v>24</v>
      </c>
      <c r="M4" s="10" t="s">
        <v>25</v>
      </c>
      <c r="N4" s="10" t="s">
        <v>26</v>
      </c>
      <c r="O4" s="11" t="s">
        <v>27</v>
      </c>
      <c r="P4" s="8"/>
      <c r="Q4" s="8"/>
    </row>
    <row r="5" spans="1:17" ht="12.75" x14ac:dyDescent="0.2">
      <c r="A5" s="3" t="s">
        <v>9</v>
      </c>
      <c r="B5" s="4" t="s">
        <v>28</v>
      </c>
      <c r="C5" s="5">
        <v>45616</v>
      </c>
      <c r="D5" s="6" t="s">
        <v>11</v>
      </c>
      <c r="E5" s="6" t="s">
        <v>17</v>
      </c>
      <c r="F5" s="4" t="s">
        <v>13</v>
      </c>
      <c r="G5" s="7">
        <v>45901</v>
      </c>
      <c r="H5" s="4" t="s">
        <v>14</v>
      </c>
      <c r="I5" s="4" t="s">
        <v>18</v>
      </c>
      <c r="J5" s="8"/>
      <c r="K5" s="12" t="s">
        <v>29</v>
      </c>
      <c r="L5" s="13">
        <v>44</v>
      </c>
      <c r="M5" s="13">
        <v>9</v>
      </c>
      <c r="N5" s="13"/>
      <c r="O5" s="14">
        <f t="shared" ref="O5:O7" si="0">M5/L5</f>
        <v>0.20454545454545456</v>
      </c>
      <c r="P5" s="8"/>
      <c r="Q5" s="8"/>
    </row>
    <row r="6" spans="1:17" ht="15" x14ac:dyDescent="0.25">
      <c r="A6" s="3" t="s">
        <v>9</v>
      </c>
      <c r="B6" s="15" t="s">
        <v>30</v>
      </c>
      <c r="C6" s="5">
        <v>45574</v>
      </c>
      <c r="D6" s="6" t="s">
        <v>20</v>
      </c>
      <c r="E6" s="6"/>
      <c r="F6" s="4" t="s">
        <v>31</v>
      </c>
      <c r="G6" s="7">
        <v>45778</v>
      </c>
      <c r="H6" s="4" t="s">
        <v>14</v>
      </c>
      <c r="I6" s="4" t="s">
        <v>32</v>
      </c>
      <c r="J6" s="8"/>
      <c r="K6" s="12" t="s">
        <v>33</v>
      </c>
      <c r="L6" s="13">
        <v>28</v>
      </c>
      <c r="M6" s="13">
        <v>16</v>
      </c>
      <c r="N6" s="13"/>
      <c r="O6" s="14">
        <f t="shared" si="0"/>
        <v>0.5714285714285714</v>
      </c>
      <c r="P6" s="8"/>
      <c r="Q6" s="8"/>
    </row>
    <row r="7" spans="1:17" ht="15" x14ac:dyDescent="0.25">
      <c r="A7" s="3" t="s">
        <v>9</v>
      </c>
      <c r="B7" s="15" t="s">
        <v>34</v>
      </c>
      <c r="C7" s="5">
        <v>45580</v>
      </c>
      <c r="D7" s="6" t="s">
        <v>20</v>
      </c>
      <c r="E7" s="6"/>
      <c r="F7" s="4" t="s">
        <v>13</v>
      </c>
      <c r="G7" s="7">
        <v>45901</v>
      </c>
      <c r="H7" s="4" t="s">
        <v>14</v>
      </c>
      <c r="I7" s="4" t="s">
        <v>35</v>
      </c>
      <c r="J7" s="8"/>
      <c r="K7" s="12" t="s">
        <v>36</v>
      </c>
      <c r="L7" s="13">
        <v>16</v>
      </c>
      <c r="M7" s="13">
        <v>1</v>
      </c>
      <c r="N7" s="13"/>
      <c r="O7" s="14">
        <f t="shared" si="0"/>
        <v>6.25E-2</v>
      </c>
      <c r="P7" s="8"/>
      <c r="Q7" s="8"/>
    </row>
    <row r="8" spans="1:17" ht="12.75" x14ac:dyDescent="0.2">
      <c r="A8" s="3" t="s">
        <v>9</v>
      </c>
      <c r="B8" s="16" t="s">
        <v>37</v>
      </c>
      <c r="C8" s="5">
        <v>45574</v>
      </c>
      <c r="D8" s="6" t="s">
        <v>11</v>
      </c>
      <c r="E8" s="6" t="s">
        <v>38</v>
      </c>
      <c r="F8" s="4" t="s">
        <v>13</v>
      </c>
      <c r="G8" s="7">
        <v>45901</v>
      </c>
      <c r="H8" s="4" t="s">
        <v>39</v>
      </c>
      <c r="I8" s="4" t="s">
        <v>40</v>
      </c>
      <c r="J8" s="8"/>
      <c r="K8" s="12"/>
      <c r="L8" s="13"/>
      <c r="M8" s="13"/>
      <c r="N8" s="13"/>
      <c r="O8" s="14"/>
      <c r="P8" s="8"/>
      <c r="Q8" s="8"/>
    </row>
    <row r="9" spans="1:17" ht="12.75" x14ac:dyDescent="0.2">
      <c r="A9" s="3" t="s">
        <v>9</v>
      </c>
      <c r="B9" s="4" t="s">
        <v>41</v>
      </c>
      <c r="C9" s="5">
        <v>45595</v>
      </c>
      <c r="D9" s="6" t="s">
        <v>20</v>
      </c>
      <c r="E9" s="6" t="s">
        <v>42</v>
      </c>
      <c r="F9" s="4" t="s">
        <v>43</v>
      </c>
      <c r="G9" s="7">
        <v>45778</v>
      </c>
      <c r="H9" s="4" t="s">
        <v>39</v>
      </c>
      <c r="I9" s="4" t="s">
        <v>44</v>
      </c>
      <c r="J9" s="8"/>
      <c r="K9" s="17" t="s">
        <v>45</v>
      </c>
      <c r="L9" s="18">
        <v>1</v>
      </c>
      <c r="M9" s="18"/>
      <c r="N9" s="18"/>
      <c r="O9" s="19">
        <f>M9/L9</f>
        <v>0</v>
      </c>
      <c r="P9" s="8"/>
      <c r="Q9" s="8"/>
    </row>
    <row r="10" spans="1:17" ht="12.75" x14ac:dyDescent="0.2">
      <c r="A10" s="3" t="s">
        <v>9</v>
      </c>
      <c r="B10" s="4" t="s">
        <v>46</v>
      </c>
      <c r="C10" s="5">
        <v>45611</v>
      </c>
      <c r="D10" s="6" t="s">
        <v>20</v>
      </c>
      <c r="E10" s="6" t="s">
        <v>21</v>
      </c>
      <c r="F10" s="4" t="s">
        <v>13</v>
      </c>
      <c r="G10" s="7">
        <v>45778</v>
      </c>
      <c r="H10" s="4" t="s">
        <v>39</v>
      </c>
      <c r="I10" s="4" t="s">
        <v>47</v>
      </c>
      <c r="J10" s="8"/>
      <c r="K10" s="20"/>
      <c r="L10" s="21"/>
      <c r="M10" s="21"/>
      <c r="N10" s="21"/>
      <c r="O10" s="22"/>
      <c r="P10" s="8"/>
      <c r="Q10" s="8"/>
    </row>
    <row r="11" spans="1:17" ht="12.75" x14ac:dyDescent="0.2">
      <c r="A11" s="3"/>
      <c r="B11" s="4"/>
      <c r="C11" s="5"/>
      <c r="D11" s="6"/>
      <c r="E11" s="6"/>
      <c r="F11" s="4"/>
      <c r="G11" s="7"/>
      <c r="H11" s="7"/>
      <c r="I11" s="4"/>
      <c r="J11" s="8"/>
      <c r="K11" s="20"/>
      <c r="L11" s="21"/>
      <c r="M11" s="21"/>
      <c r="N11" s="21"/>
      <c r="O11" s="22"/>
      <c r="P11" s="8"/>
      <c r="Q11" s="8"/>
    </row>
    <row r="12" spans="1:17" ht="12.75" x14ac:dyDescent="0.2">
      <c r="A12" s="3" t="s">
        <v>48</v>
      </c>
      <c r="B12" s="4" t="s">
        <v>49</v>
      </c>
      <c r="C12" s="23">
        <v>45360</v>
      </c>
      <c r="D12" s="6" t="s">
        <v>50</v>
      </c>
      <c r="E12" s="6" t="s">
        <v>17</v>
      </c>
      <c r="F12" s="4" t="s">
        <v>51</v>
      </c>
      <c r="G12" s="7">
        <v>45778</v>
      </c>
      <c r="H12" s="4" t="s">
        <v>14</v>
      </c>
      <c r="I12" s="4" t="s">
        <v>52</v>
      </c>
      <c r="J12" s="8"/>
      <c r="K12" s="8"/>
      <c r="L12" s="8"/>
      <c r="M12" s="8"/>
      <c r="N12" s="8"/>
      <c r="O12" s="8"/>
      <c r="P12" s="8"/>
      <c r="Q12" s="8"/>
    </row>
    <row r="13" spans="1:17" ht="12.75" x14ac:dyDescent="0.2">
      <c r="A13" s="3" t="s">
        <v>48</v>
      </c>
      <c r="B13" s="4" t="s">
        <v>53</v>
      </c>
      <c r="C13" s="5">
        <v>45366</v>
      </c>
      <c r="D13" s="6" t="s">
        <v>50</v>
      </c>
      <c r="E13" s="6" t="s">
        <v>42</v>
      </c>
      <c r="F13" s="4" t="s">
        <v>54</v>
      </c>
      <c r="G13" s="7">
        <v>45778</v>
      </c>
      <c r="H13" s="4" t="s">
        <v>14</v>
      </c>
      <c r="I13" s="4" t="s">
        <v>55</v>
      </c>
      <c r="J13" s="8"/>
      <c r="K13" s="8"/>
      <c r="L13" s="8"/>
      <c r="M13" s="8"/>
      <c r="N13" s="8"/>
      <c r="O13" s="8"/>
      <c r="P13" s="8"/>
      <c r="Q13" s="8"/>
    </row>
    <row r="14" spans="1:17" ht="12.75" x14ac:dyDescent="0.2">
      <c r="A14" s="3" t="s">
        <v>48</v>
      </c>
      <c r="B14" s="4" t="s">
        <v>56</v>
      </c>
      <c r="C14" s="5">
        <v>45369</v>
      </c>
      <c r="D14" s="6" t="s">
        <v>20</v>
      </c>
      <c r="E14" s="6" t="s">
        <v>21</v>
      </c>
      <c r="F14" s="4" t="s">
        <v>57</v>
      </c>
      <c r="G14" s="7">
        <v>45931</v>
      </c>
      <c r="H14" s="4" t="s">
        <v>14</v>
      </c>
      <c r="I14" s="4" t="s">
        <v>58</v>
      </c>
      <c r="J14" s="8"/>
      <c r="K14" s="8"/>
      <c r="L14" s="8"/>
      <c r="M14" s="8"/>
      <c r="N14" s="8"/>
      <c r="O14" s="8"/>
      <c r="P14" s="8"/>
      <c r="Q14" s="8"/>
    </row>
    <row r="15" spans="1:17" ht="12.75" x14ac:dyDescent="0.2">
      <c r="A15" s="3" t="s">
        <v>48</v>
      </c>
      <c r="B15" s="4" t="s">
        <v>59</v>
      </c>
      <c r="C15" s="5">
        <v>45372</v>
      </c>
      <c r="D15" s="6" t="s">
        <v>50</v>
      </c>
      <c r="E15" s="6" t="s">
        <v>60</v>
      </c>
      <c r="F15" s="4" t="s">
        <v>51</v>
      </c>
      <c r="G15" s="7">
        <v>45931</v>
      </c>
      <c r="H15" s="4" t="s">
        <v>14</v>
      </c>
      <c r="I15" s="4" t="s">
        <v>18</v>
      </c>
      <c r="J15" s="8"/>
      <c r="K15" s="8"/>
      <c r="L15" s="8"/>
      <c r="M15" s="8"/>
      <c r="N15" s="8"/>
      <c r="O15" s="8"/>
      <c r="P15" s="8"/>
      <c r="Q15" s="8"/>
    </row>
    <row r="16" spans="1:17" ht="12.75" x14ac:dyDescent="0.2">
      <c r="A16" s="3" t="s">
        <v>48</v>
      </c>
      <c r="B16" s="4" t="s">
        <v>61</v>
      </c>
      <c r="C16" s="5">
        <v>45372</v>
      </c>
      <c r="D16" s="6" t="s">
        <v>62</v>
      </c>
      <c r="E16" s="6" t="s">
        <v>63</v>
      </c>
      <c r="F16" s="4" t="s">
        <v>51</v>
      </c>
      <c r="G16" s="7">
        <v>45901</v>
      </c>
      <c r="H16" s="4" t="s">
        <v>14</v>
      </c>
      <c r="I16" s="4" t="s">
        <v>64</v>
      </c>
      <c r="J16" s="8"/>
      <c r="K16" s="8"/>
      <c r="L16" s="8"/>
      <c r="M16" s="8"/>
      <c r="N16" s="8"/>
      <c r="O16" s="8"/>
      <c r="P16" s="8"/>
      <c r="Q16" s="8"/>
    </row>
    <row r="17" spans="1:17" ht="12.75" x14ac:dyDescent="0.2">
      <c r="A17" s="3" t="s">
        <v>48</v>
      </c>
      <c r="B17" s="4" t="s">
        <v>65</v>
      </c>
      <c r="C17" s="5">
        <v>45377</v>
      </c>
      <c r="D17" s="6" t="s">
        <v>62</v>
      </c>
      <c r="E17" s="6" t="s">
        <v>63</v>
      </c>
      <c r="F17" s="4" t="s">
        <v>51</v>
      </c>
      <c r="G17" s="7">
        <v>45901</v>
      </c>
      <c r="H17" s="4" t="s">
        <v>14</v>
      </c>
      <c r="I17" s="4" t="s">
        <v>18</v>
      </c>
      <c r="J17" s="8"/>
      <c r="K17" s="8"/>
      <c r="L17" s="8"/>
      <c r="M17" s="8"/>
      <c r="N17" s="8"/>
      <c r="O17" s="8"/>
      <c r="P17" s="8"/>
      <c r="Q17" s="8"/>
    </row>
    <row r="18" spans="1:17" ht="12.75" x14ac:dyDescent="0.2">
      <c r="A18" s="3" t="s">
        <v>48</v>
      </c>
      <c r="B18" s="4" t="s">
        <v>66</v>
      </c>
      <c r="C18" s="5">
        <v>45378</v>
      </c>
      <c r="D18" s="6" t="s">
        <v>62</v>
      </c>
      <c r="E18" s="6" t="s">
        <v>17</v>
      </c>
      <c r="F18" s="4" t="s">
        <v>51</v>
      </c>
      <c r="G18" s="7">
        <v>45778</v>
      </c>
      <c r="H18" s="4" t="s">
        <v>14</v>
      </c>
      <c r="I18" s="4" t="s">
        <v>67</v>
      </c>
      <c r="J18" s="8"/>
      <c r="K18" s="8"/>
      <c r="L18" s="8"/>
      <c r="M18" s="8"/>
      <c r="N18" s="8"/>
      <c r="O18" s="8"/>
      <c r="P18" s="8"/>
      <c r="Q18" s="8"/>
    </row>
    <row r="19" spans="1:17" ht="12.75" x14ac:dyDescent="0.2">
      <c r="A19" s="3" t="s">
        <v>48</v>
      </c>
      <c r="B19" s="4" t="s">
        <v>68</v>
      </c>
      <c r="C19" s="5">
        <v>45381</v>
      </c>
      <c r="D19" s="6" t="s">
        <v>50</v>
      </c>
      <c r="E19" s="6" t="s">
        <v>63</v>
      </c>
      <c r="F19" s="4" t="s">
        <v>69</v>
      </c>
      <c r="G19" s="7">
        <v>45901</v>
      </c>
      <c r="H19" s="4" t="s">
        <v>14</v>
      </c>
      <c r="I19" s="4" t="s">
        <v>70</v>
      </c>
      <c r="J19" s="8"/>
      <c r="K19" s="8"/>
      <c r="L19" s="8"/>
      <c r="M19" s="8"/>
      <c r="N19" s="8"/>
      <c r="O19" s="8"/>
      <c r="P19" s="8"/>
      <c r="Q19" s="8"/>
    </row>
    <row r="20" spans="1:17" ht="12.75" x14ac:dyDescent="0.2">
      <c r="A20" s="3" t="s">
        <v>48</v>
      </c>
      <c r="B20" s="4" t="s">
        <v>71</v>
      </c>
      <c r="C20" s="5">
        <v>45394</v>
      </c>
      <c r="D20" s="6" t="s">
        <v>20</v>
      </c>
      <c r="E20" s="6" t="s">
        <v>60</v>
      </c>
      <c r="F20" s="4" t="s">
        <v>51</v>
      </c>
      <c r="G20" s="7">
        <v>45901</v>
      </c>
      <c r="H20" s="4" t="s">
        <v>14</v>
      </c>
      <c r="I20" s="4" t="s">
        <v>67</v>
      </c>
      <c r="J20" s="8"/>
      <c r="K20" s="8"/>
      <c r="L20" s="8"/>
      <c r="M20" s="8"/>
      <c r="N20" s="8"/>
      <c r="O20" s="8"/>
      <c r="P20" s="8"/>
      <c r="Q20" s="8"/>
    </row>
    <row r="21" spans="1:17" ht="12.75" x14ac:dyDescent="0.2">
      <c r="A21" s="3" t="s">
        <v>48</v>
      </c>
      <c r="B21" s="4" t="s">
        <v>72</v>
      </c>
      <c r="C21" s="5">
        <v>45395</v>
      </c>
      <c r="D21" s="6" t="s">
        <v>20</v>
      </c>
      <c r="E21" s="6" t="s">
        <v>21</v>
      </c>
      <c r="F21" s="4" t="s">
        <v>51</v>
      </c>
      <c r="G21" s="7">
        <v>45901</v>
      </c>
      <c r="H21" s="4" t="s">
        <v>14</v>
      </c>
      <c r="I21" s="4" t="s">
        <v>67</v>
      </c>
      <c r="J21" s="8"/>
      <c r="K21" s="8"/>
      <c r="L21" s="8"/>
      <c r="M21" s="8"/>
      <c r="N21" s="8"/>
      <c r="O21" s="8"/>
      <c r="P21" s="8"/>
      <c r="Q21" s="8"/>
    </row>
    <row r="22" spans="1:17" ht="12.75" x14ac:dyDescent="0.2">
      <c r="A22" s="3" t="s">
        <v>48</v>
      </c>
      <c r="B22" s="4" t="s">
        <v>73</v>
      </c>
      <c r="C22" s="5">
        <v>45401</v>
      </c>
      <c r="D22" s="6" t="s">
        <v>11</v>
      </c>
      <c r="E22" s="6" t="s">
        <v>60</v>
      </c>
      <c r="F22" s="4" t="s">
        <v>57</v>
      </c>
      <c r="G22" s="7">
        <v>45931</v>
      </c>
      <c r="H22" s="4" t="s">
        <v>14</v>
      </c>
      <c r="I22" s="4" t="s">
        <v>74</v>
      </c>
      <c r="J22" s="8"/>
      <c r="K22" s="8"/>
      <c r="L22" s="8"/>
      <c r="M22" s="8"/>
      <c r="N22" s="8"/>
      <c r="O22" s="8"/>
      <c r="P22" s="8"/>
      <c r="Q22" s="8"/>
    </row>
    <row r="23" spans="1:17" ht="12.75" x14ac:dyDescent="0.2">
      <c r="A23" s="3" t="s">
        <v>48</v>
      </c>
      <c r="B23" s="4" t="s">
        <v>75</v>
      </c>
      <c r="C23" s="5">
        <v>45403</v>
      </c>
      <c r="D23" s="6" t="s">
        <v>20</v>
      </c>
      <c r="E23" s="6" t="s">
        <v>76</v>
      </c>
      <c r="F23" s="4" t="s">
        <v>77</v>
      </c>
      <c r="G23" s="7">
        <v>45778</v>
      </c>
      <c r="H23" s="4" t="s">
        <v>14</v>
      </c>
      <c r="I23" s="4" t="s">
        <v>18</v>
      </c>
      <c r="J23" s="8"/>
      <c r="K23" s="8"/>
      <c r="L23" s="8"/>
      <c r="M23" s="8"/>
      <c r="N23" s="8"/>
      <c r="O23" s="8"/>
      <c r="P23" s="8"/>
      <c r="Q23" s="8"/>
    </row>
    <row r="24" spans="1:17" ht="12.75" x14ac:dyDescent="0.2">
      <c r="A24" s="3" t="s">
        <v>48</v>
      </c>
      <c r="B24" s="4" t="s">
        <v>78</v>
      </c>
      <c r="C24" s="5">
        <v>45443</v>
      </c>
      <c r="D24" s="6" t="s">
        <v>79</v>
      </c>
      <c r="E24" s="6" t="s">
        <v>80</v>
      </c>
      <c r="F24" s="4" t="s">
        <v>54</v>
      </c>
      <c r="G24" s="7">
        <v>45901</v>
      </c>
      <c r="H24" s="4" t="s">
        <v>14</v>
      </c>
      <c r="I24" s="4" t="s">
        <v>18</v>
      </c>
      <c r="J24" s="8"/>
      <c r="K24" s="8"/>
      <c r="L24" s="8"/>
      <c r="M24" s="8"/>
      <c r="N24" s="8"/>
      <c r="O24" s="8"/>
      <c r="P24" s="8"/>
      <c r="Q24" s="8"/>
    </row>
    <row r="25" spans="1:17" ht="12.75" x14ac:dyDescent="0.2">
      <c r="A25" s="3" t="s">
        <v>48</v>
      </c>
      <c r="B25" s="4" t="s">
        <v>81</v>
      </c>
      <c r="C25" s="5">
        <v>45470</v>
      </c>
      <c r="D25" s="6" t="s">
        <v>82</v>
      </c>
      <c r="E25" s="6" t="s">
        <v>83</v>
      </c>
      <c r="F25" s="4" t="s">
        <v>54</v>
      </c>
      <c r="G25" s="7">
        <v>45901</v>
      </c>
      <c r="H25" s="4" t="s">
        <v>14</v>
      </c>
      <c r="I25" s="4" t="s">
        <v>52</v>
      </c>
      <c r="J25" s="8"/>
      <c r="K25" s="8"/>
      <c r="L25" s="8"/>
      <c r="M25" s="8"/>
      <c r="N25" s="8"/>
      <c r="O25" s="8"/>
      <c r="P25" s="8"/>
      <c r="Q25" s="8"/>
    </row>
    <row r="26" spans="1:17" ht="12.75" x14ac:dyDescent="0.2">
      <c r="A26" s="3" t="s">
        <v>48</v>
      </c>
      <c r="B26" s="4" t="s">
        <v>84</v>
      </c>
      <c r="C26" s="5">
        <v>45490</v>
      </c>
      <c r="D26" s="6" t="s">
        <v>62</v>
      </c>
      <c r="E26" s="6" t="s">
        <v>42</v>
      </c>
      <c r="F26" s="4" t="s">
        <v>57</v>
      </c>
      <c r="G26" s="7">
        <v>45748</v>
      </c>
      <c r="H26" s="4" t="s">
        <v>14</v>
      </c>
      <c r="I26" s="4" t="s">
        <v>85</v>
      </c>
      <c r="J26" s="8"/>
      <c r="K26" s="8"/>
      <c r="L26" s="8"/>
      <c r="M26" s="8"/>
      <c r="N26" s="8"/>
      <c r="O26" s="8"/>
      <c r="P26" s="8"/>
      <c r="Q26" s="8"/>
    </row>
    <row r="27" spans="1:17" ht="12.75" x14ac:dyDescent="0.2">
      <c r="A27" s="3" t="s">
        <v>48</v>
      </c>
      <c r="B27" s="4" t="s">
        <v>86</v>
      </c>
      <c r="C27" s="5">
        <v>45505</v>
      </c>
      <c r="D27" s="6" t="s">
        <v>50</v>
      </c>
      <c r="E27" s="6" t="s">
        <v>12</v>
      </c>
      <c r="F27" s="4" t="s">
        <v>51</v>
      </c>
      <c r="G27" s="7">
        <v>45778</v>
      </c>
      <c r="H27" s="4" t="s">
        <v>14</v>
      </c>
      <c r="I27" s="4" t="s">
        <v>18</v>
      </c>
      <c r="J27" s="8"/>
      <c r="K27" s="8"/>
      <c r="L27" s="8"/>
      <c r="M27" s="8"/>
      <c r="N27" s="8"/>
      <c r="O27" s="8"/>
      <c r="P27" s="8"/>
      <c r="Q27" s="8"/>
    </row>
    <row r="28" spans="1:17" ht="12.75" x14ac:dyDescent="0.2">
      <c r="A28" s="3"/>
      <c r="B28" s="4"/>
      <c r="C28" s="4"/>
      <c r="D28" s="6"/>
      <c r="E28" s="6"/>
      <c r="F28" s="4"/>
      <c r="G28" s="4"/>
      <c r="H28" s="7"/>
      <c r="I28" s="4"/>
      <c r="J28" s="8"/>
      <c r="K28" s="8"/>
      <c r="L28" s="8"/>
      <c r="M28" s="8"/>
      <c r="N28" s="8"/>
      <c r="O28" s="8"/>
      <c r="P28" s="8"/>
      <c r="Q28" s="8"/>
    </row>
    <row r="29" spans="1:17" ht="12.75" x14ac:dyDescent="0.2">
      <c r="A29" s="3" t="s">
        <v>87</v>
      </c>
      <c r="B29" s="4" t="s">
        <v>88</v>
      </c>
      <c r="C29" s="5">
        <v>45590</v>
      </c>
      <c r="D29" s="6" t="s">
        <v>20</v>
      </c>
      <c r="E29" s="6" t="s">
        <v>17</v>
      </c>
      <c r="F29" s="4" t="s">
        <v>89</v>
      </c>
      <c r="G29" s="7">
        <v>45717</v>
      </c>
      <c r="H29" s="4" t="s">
        <v>14</v>
      </c>
      <c r="I29" s="4" t="s">
        <v>67</v>
      </c>
      <c r="J29" s="8"/>
      <c r="K29" s="8"/>
      <c r="L29" s="8"/>
      <c r="M29" s="8"/>
      <c r="N29" s="8"/>
      <c r="O29" s="8"/>
      <c r="P29" s="8"/>
      <c r="Q29" s="8"/>
    </row>
    <row r="30" spans="1:17" ht="12.75" x14ac:dyDescent="0.2">
      <c r="A30" s="3"/>
      <c r="B30" s="4"/>
      <c r="C30" s="4"/>
      <c r="D30" s="6"/>
      <c r="E30" s="6"/>
      <c r="F30" s="4"/>
      <c r="G30" s="4"/>
      <c r="H30" s="7"/>
      <c r="I30" s="4"/>
      <c r="J30" s="8"/>
      <c r="K30" s="8"/>
      <c r="L30" s="8"/>
      <c r="M30" s="8"/>
      <c r="N30" s="8"/>
      <c r="O30" s="8"/>
      <c r="P30" s="8"/>
      <c r="Q30" s="8"/>
    </row>
    <row r="31" spans="1:17" ht="12.75" x14ac:dyDescent="0.2">
      <c r="A31" s="3"/>
      <c r="B31" s="4"/>
      <c r="C31" s="5"/>
      <c r="D31" s="6"/>
      <c r="E31" s="6"/>
      <c r="F31" s="4"/>
      <c r="G31" s="7"/>
      <c r="H31" s="4"/>
      <c r="I31" s="4"/>
      <c r="J31" s="8"/>
      <c r="K31" s="8"/>
      <c r="L31" s="8"/>
      <c r="M31" s="8"/>
      <c r="N31" s="8"/>
      <c r="O31" s="8"/>
      <c r="P31" s="8"/>
      <c r="Q31" s="8"/>
    </row>
    <row r="32" spans="1:17" ht="12.75" x14ac:dyDescent="0.2">
      <c r="A32" s="3"/>
      <c r="B32" s="4"/>
      <c r="C32" s="5"/>
      <c r="D32" s="6"/>
      <c r="E32" s="6"/>
      <c r="F32" s="4"/>
      <c r="G32" s="7"/>
      <c r="H32" s="4"/>
      <c r="I32" s="4"/>
      <c r="J32" s="8"/>
      <c r="K32" s="8"/>
      <c r="L32" s="8"/>
      <c r="M32" s="8"/>
      <c r="N32" s="8"/>
      <c r="O32" s="8"/>
      <c r="P32" s="8"/>
      <c r="Q32" s="8"/>
    </row>
    <row r="33" spans="1:17" ht="12.75" x14ac:dyDescent="0.2">
      <c r="A33" s="3"/>
      <c r="B33" s="4"/>
      <c r="C33" s="4"/>
      <c r="D33" s="6"/>
      <c r="E33" s="6"/>
      <c r="F33" s="4"/>
      <c r="G33" s="4"/>
      <c r="H33" s="7"/>
      <c r="I33" s="4"/>
      <c r="J33" s="8"/>
      <c r="K33" s="8"/>
      <c r="L33" s="8"/>
      <c r="M33" s="8"/>
      <c r="N33" s="8"/>
      <c r="O33" s="8"/>
      <c r="P33" s="8"/>
      <c r="Q33" s="8"/>
    </row>
    <row r="34" spans="1:17" ht="12.75" x14ac:dyDescent="0.2">
      <c r="A34" s="3"/>
      <c r="B34" s="4"/>
      <c r="C34" s="4"/>
      <c r="D34" s="6"/>
      <c r="E34" s="6"/>
      <c r="F34" s="4"/>
      <c r="G34" s="4"/>
      <c r="H34" s="7"/>
      <c r="I34" s="4"/>
      <c r="J34" s="8"/>
      <c r="K34" s="8"/>
      <c r="L34" s="8"/>
      <c r="M34" s="8"/>
      <c r="N34" s="8"/>
      <c r="O34" s="8"/>
      <c r="P34" s="8"/>
      <c r="Q34" s="8"/>
    </row>
    <row r="35" spans="1:17" ht="12.75" x14ac:dyDescent="0.2">
      <c r="A35" s="3"/>
      <c r="B35" s="4"/>
      <c r="C35" s="4"/>
      <c r="D35" s="6"/>
      <c r="E35" s="6"/>
      <c r="F35" s="4"/>
      <c r="G35" s="4"/>
      <c r="H35" s="7"/>
      <c r="I35" s="4"/>
      <c r="J35" s="8"/>
      <c r="K35" s="8"/>
      <c r="L35" s="8"/>
      <c r="M35" s="8"/>
      <c r="N35" s="8"/>
      <c r="O35" s="8"/>
      <c r="P35" s="8"/>
      <c r="Q35" s="8"/>
    </row>
    <row r="36" spans="1:17" ht="12.75" x14ac:dyDescent="0.2">
      <c r="A36" s="3"/>
      <c r="B36" s="4"/>
      <c r="C36" s="4"/>
      <c r="D36" s="6"/>
      <c r="E36" s="6"/>
      <c r="F36" s="4"/>
      <c r="G36" s="4"/>
      <c r="H36" s="7"/>
      <c r="I36" s="4"/>
      <c r="J36" s="8"/>
      <c r="K36" s="8"/>
      <c r="L36" s="8"/>
      <c r="M36" s="8"/>
      <c r="N36" s="8"/>
      <c r="O36" s="8"/>
      <c r="P36" s="8"/>
      <c r="Q36" s="8"/>
    </row>
    <row r="37" spans="1:17" ht="12.75" x14ac:dyDescent="0.2">
      <c r="A37" s="3"/>
      <c r="B37" s="4"/>
      <c r="C37" s="4"/>
      <c r="D37" s="6"/>
      <c r="E37" s="6"/>
      <c r="F37" s="4"/>
      <c r="G37" s="4"/>
      <c r="H37" s="7"/>
      <c r="I37" s="4"/>
      <c r="J37" s="8"/>
      <c r="K37" s="8"/>
      <c r="L37" s="8"/>
      <c r="M37" s="8"/>
      <c r="N37" s="8"/>
      <c r="O37" s="8"/>
      <c r="P37" s="8"/>
      <c r="Q37" s="8"/>
    </row>
    <row r="38" spans="1:17" ht="12.75" x14ac:dyDescent="0.2">
      <c r="A38" s="3"/>
      <c r="B38" s="4"/>
      <c r="C38" s="4"/>
      <c r="D38" s="6"/>
      <c r="E38" s="6"/>
      <c r="F38" s="4"/>
      <c r="G38" s="4"/>
      <c r="H38" s="7"/>
      <c r="I38" s="4"/>
      <c r="J38" s="8"/>
      <c r="K38" s="8"/>
      <c r="L38" s="8"/>
      <c r="M38" s="8"/>
      <c r="N38" s="8"/>
      <c r="O38" s="8"/>
      <c r="P38" s="8"/>
      <c r="Q38" s="8"/>
    </row>
    <row r="39" spans="1:17" ht="12.75" x14ac:dyDescent="0.2">
      <c r="A39" s="3"/>
      <c r="B39" s="4"/>
      <c r="C39" s="4"/>
      <c r="D39" s="6"/>
      <c r="E39" s="6"/>
      <c r="F39" s="4"/>
      <c r="G39" s="4"/>
      <c r="H39" s="7"/>
      <c r="I39" s="4"/>
      <c r="J39" s="8"/>
      <c r="K39" s="8"/>
      <c r="L39" s="8"/>
      <c r="M39" s="8"/>
      <c r="N39" s="8"/>
      <c r="O39" s="8"/>
      <c r="P39" s="8"/>
      <c r="Q39" s="8"/>
    </row>
    <row r="40" spans="1:17" ht="12.75" x14ac:dyDescent="0.2">
      <c r="A40" s="3"/>
      <c r="B40" s="4"/>
      <c r="C40" s="4"/>
      <c r="D40" s="6"/>
      <c r="E40" s="6"/>
      <c r="F40" s="4"/>
      <c r="G40" s="4"/>
      <c r="H40" s="7"/>
      <c r="I40" s="4"/>
      <c r="J40" s="8"/>
      <c r="K40" s="8"/>
      <c r="L40" s="8"/>
      <c r="M40" s="8"/>
      <c r="N40" s="8"/>
      <c r="O40" s="8"/>
      <c r="P40" s="8"/>
      <c r="Q40" s="8"/>
    </row>
    <row r="41" spans="1:17" ht="12.75" x14ac:dyDescent="0.2">
      <c r="A41" s="3"/>
      <c r="B41" s="4"/>
      <c r="C41" s="4"/>
      <c r="D41" s="6"/>
      <c r="E41" s="6"/>
      <c r="F41" s="4"/>
      <c r="G41" s="4"/>
      <c r="H41" s="7"/>
      <c r="I41" s="4"/>
      <c r="J41" s="8"/>
      <c r="K41" s="8"/>
      <c r="L41" s="8"/>
      <c r="M41" s="8"/>
      <c r="N41" s="8"/>
      <c r="O41" s="8"/>
      <c r="P41" s="8"/>
      <c r="Q41" s="8"/>
    </row>
    <row r="42" spans="1:17" ht="12.75" x14ac:dyDescent="0.2">
      <c r="A42" s="3"/>
      <c r="B42" s="4"/>
      <c r="C42" s="4"/>
      <c r="D42" s="6"/>
      <c r="E42" s="6"/>
      <c r="F42" s="4"/>
      <c r="G42" s="4"/>
      <c r="H42" s="7"/>
      <c r="I42" s="4"/>
      <c r="J42" s="8"/>
      <c r="K42" s="8"/>
      <c r="L42" s="8"/>
      <c r="M42" s="8"/>
      <c r="N42" s="8"/>
      <c r="O42" s="8"/>
      <c r="P42" s="8"/>
      <c r="Q42" s="8"/>
    </row>
    <row r="43" spans="1:17" ht="12.75" x14ac:dyDescent="0.2">
      <c r="A43" s="3"/>
      <c r="B43" s="4"/>
      <c r="C43" s="4"/>
      <c r="D43" s="6"/>
      <c r="E43" s="6"/>
      <c r="F43" s="4"/>
      <c r="G43" s="4"/>
      <c r="H43" s="7"/>
      <c r="I43" s="4"/>
      <c r="J43" s="8"/>
      <c r="K43" s="8"/>
      <c r="L43" s="8"/>
      <c r="M43" s="8"/>
      <c r="N43" s="8"/>
      <c r="O43" s="8"/>
      <c r="P43" s="8"/>
      <c r="Q43" s="8"/>
    </row>
    <row r="44" spans="1:17" ht="12.75" x14ac:dyDescent="0.2">
      <c r="A44" s="3"/>
      <c r="B44" s="4"/>
      <c r="C44" s="4"/>
      <c r="D44" s="6"/>
      <c r="E44" s="6"/>
      <c r="F44" s="4"/>
      <c r="G44" s="4"/>
      <c r="H44" s="7"/>
      <c r="I44" s="4"/>
      <c r="J44" s="8"/>
      <c r="K44" s="8"/>
      <c r="L44" s="8"/>
      <c r="M44" s="8"/>
      <c r="N44" s="8"/>
      <c r="O44" s="8"/>
      <c r="P44" s="8"/>
      <c r="Q44" s="8"/>
    </row>
    <row r="45" spans="1:17" ht="12.75" x14ac:dyDescent="0.2">
      <c r="A45" s="3"/>
      <c r="B45" s="4"/>
      <c r="C45" s="4"/>
      <c r="D45" s="6"/>
      <c r="E45" s="6"/>
      <c r="F45" s="4"/>
      <c r="G45" s="4"/>
      <c r="H45" s="7"/>
      <c r="I45" s="4"/>
      <c r="J45" s="8"/>
      <c r="K45" s="8"/>
      <c r="L45" s="8"/>
      <c r="M45" s="8"/>
      <c r="N45" s="8"/>
      <c r="O45" s="8"/>
      <c r="P45" s="8"/>
      <c r="Q45" s="8"/>
    </row>
    <row r="46" spans="1:17" ht="12.75" x14ac:dyDescent="0.2">
      <c r="A46" s="3"/>
      <c r="B46" s="4"/>
      <c r="C46" s="4"/>
      <c r="D46" s="6"/>
      <c r="E46" s="6"/>
      <c r="F46" s="4"/>
      <c r="G46" s="4"/>
      <c r="H46" s="7"/>
      <c r="I46" s="4"/>
      <c r="J46" s="8"/>
      <c r="K46" s="8"/>
      <c r="L46" s="8"/>
      <c r="M46" s="8"/>
      <c r="N46" s="8"/>
      <c r="O46" s="8"/>
      <c r="P46" s="8"/>
      <c r="Q46" s="8"/>
    </row>
    <row r="47" spans="1:17" ht="12.75" x14ac:dyDescent="0.2">
      <c r="A47" s="3"/>
      <c r="B47" s="4"/>
      <c r="C47" s="4"/>
      <c r="D47" s="6"/>
      <c r="E47" s="6"/>
      <c r="F47" s="4"/>
      <c r="G47" s="4"/>
      <c r="H47" s="7"/>
      <c r="I47" s="4"/>
      <c r="J47" s="8"/>
      <c r="K47" s="8"/>
      <c r="L47" s="8"/>
      <c r="M47" s="8"/>
      <c r="N47" s="8"/>
      <c r="O47" s="8"/>
      <c r="P47" s="8"/>
      <c r="Q47" s="8"/>
    </row>
    <row r="48" spans="1:17" ht="12.75" x14ac:dyDescent="0.2">
      <c r="A48" s="3"/>
      <c r="B48" s="4"/>
      <c r="C48" s="4"/>
      <c r="D48" s="6"/>
      <c r="E48" s="6"/>
      <c r="F48" s="4"/>
      <c r="G48" s="4"/>
      <c r="H48" s="7"/>
      <c r="I48" s="4"/>
      <c r="J48" s="8"/>
      <c r="K48" s="8"/>
      <c r="L48" s="8"/>
      <c r="M48" s="8"/>
      <c r="N48" s="8"/>
      <c r="O48" s="8"/>
      <c r="P48" s="8"/>
      <c r="Q48" s="8"/>
    </row>
    <row r="49" spans="1:17" ht="12.75" x14ac:dyDescent="0.2">
      <c r="A49" s="3"/>
      <c r="B49" s="4"/>
      <c r="C49" s="4"/>
      <c r="D49" s="6"/>
      <c r="E49" s="6"/>
      <c r="F49" s="4"/>
      <c r="G49" s="4"/>
      <c r="H49" s="7"/>
      <c r="I49" s="4"/>
      <c r="J49" s="8"/>
      <c r="K49" s="8"/>
      <c r="L49" s="8"/>
      <c r="M49" s="8"/>
      <c r="N49" s="8"/>
      <c r="O49" s="8"/>
      <c r="P49" s="8"/>
      <c r="Q49" s="8"/>
    </row>
    <row r="50" spans="1:17" ht="12.75" x14ac:dyDescent="0.2">
      <c r="A50" s="3"/>
      <c r="B50" s="4"/>
      <c r="C50" s="4"/>
      <c r="D50" s="6"/>
      <c r="E50" s="6"/>
      <c r="F50" s="4"/>
      <c r="G50" s="4"/>
      <c r="H50" s="7"/>
      <c r="I50" s="4"/>
      <c r="J50" s="8"/>
      <c r="K50" s="8"/>
      <c r="L50" s="8"/>
      <c r="M50" s="8"/>
      <c r="N50" s="8"/>
      <c r="O50" s="8"/>
      <c r="P50" s="8"/>
      <c r="Q50" s="8"/>
    </row>
  </sheetData>
  <dataValidations count="4">
    <dataValidation type="list" allowBlank="1" showErrorMessage="1" sqref="A2:A10 A12:A50" xr:uid="{00000000-0002-0000-0000-000000000000}">
      <formula1>"Canada Study Program,UK Study Program,NZ Study Program,Singapore - Study Program"</formula1>
    </dataValidation>
    <dataValidation type="list" allowBlank="1" showErrorMessage="1" sqref="E2:E50" xr:uid="{00000000-0002-0000-0000-000001000000}">
      <formula1>"Nicole,Mark,Roy,Rem,Rami,Kate,Ralph,Renz,Ianna,Rose,Joanne,PS Kobe,TL Chris,TL Liam,Franz"</formula1>
    </dataValidation>
    <dataValidation type="list" allowBlank="1" showErrorMessage="1" sqref="H2:H10 H12:H50" xr:uid="{00000000-0002-0000-0000-000002000000}">
      <formula1>"Confirmed ,Possible"</formula1>
    </dataValidation>
    <dataValidation type="list" allowBlank="1" showErrorMessage="1" sqref="D2:D10 D12:D50" xr:uid="{00000000-0002-0000-0000-000003000000}">
      <formula1>"Venus,Don,Arvie,Kevin,RG,Katma"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01DE-AC2C-4DD9-9876-A6D4BE0E6807}">
  <sheetPr>
    <outlinePr summaryBelow="0" summaryRight="0"/>
  </sheetPr>
  <dimension ref="A1:Q50"/>
  <sheetViews>
    <sheetView showGridLines="0" tabSelected="1" topLeftCell="F1" zoomScale="130" zoomScaleNormal="130" workbookViewId="0">
      <pane ySplit="1" topLeftCell="A2" activePane="bottomLeft" state="frozen"/>
      <selection pane="bottomLeft" activeCell="N23" sqref="N23"/>
    </sheetView>
  </sheetViews>
  <sheetFormatPr defaultColWidth="12.5703125" defaultRowHeight="15.75" customHeight="1" x14ac:dyDescent="0.2"/>
  <cols>
    <col min="1" max="1" width="28.85546875" customWidth="1"/>
    <col min="2" max="2" width="24.7109375" customWidth="1"/>
    <col min="3" max="4" width="14.42578125" customWidth="1"/>
    <col min="5" max="5" width="14.7109375" customWidth="1"/>
    <col min="6" max="6" width="19.140625" customWidth="1"/>
    <col min="7" max="8" width="15.42578125" customWidth="1"/>
    <col min="9" max="9" width="57.140625" customWidth="1"/>
    <col min="11" max="11" width="15.5703125" customWidth="1"/>
    <col min="12" max="12" width="18" customWidth="1"/>
    <col min="13" max="13" width="15.5703125" customWidth="1"/>
    <col min="14" max="14" width="13.42578125" customWidth="1"/>
    <col min="15" max="15" width="9.28515625" customWidth="1"/>
  </cols>
  <sheetData>
    <row r="1" spans="1:17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</row>
    <row r="2" spans="1:17" ht="12.75" x14ac:dyDescent="0.2">
      <c r="A2" s="3" t="s">
        <v>9</v>
      </c>
      <c r="B2" s="4" t="s">
        <v>10</v>
      </c>
      <c r="C2" s="5">
        <v>45576</v>
      </c>
      <c r="D2" s="6" t="s">
        <v>11</v>
      </c>
      <c r="E2" s="6" t="s">
        <v>12</v>
      </c>
      <c r="F2" s="4" t="s">
        <v>13</v>
      </c>
      <c r="G2" s="7">
        <v>45901</v>
      </c>
      <c r="H2" s="4" t="s">
        <v>14</v>
      </c>
      <c r="I2" s="24" t="s">
        <v>93</v>
      </c>
      <c r="J2" s="8"/>
      <c r="K2" s="8"/>
      <c r="L2" s="8"/>
      <c r="M2" s="8"/>
      <c r="N2" s="8"/>
      <c r="O2" s="8"/>
      <c r="P2" s="8"/>
      <c r="Q2" s="8"/>
    </row>
    <row r="3" spans="1:17" ht="13.5" thickBot="1" x14ac:dyDescent="0.25">
      <c r="A3" s="3" t="s">
        <v>9</v>
      </c>
      <c r="B3" s="4" t="s">
        <v>16</v>
      </c>
      <c r="C3" s="5">
        <v>45579</v>
      </c>
      <c r="D3" s="6" t="s">
        <v>11</v>
      </c>
      <c r="E3" s="6" t="s">
        <v>17</v>
      </c>
      <c r="F3" s="4" t="s">
        <v>13</v>
      </c>
      <c r="G3" s="7">
        <v>45778</v>
      </c>
      <c r="H3" s="4" t="s">
        <v>14</v>
      </c>
      <c r="I3" s="4" t="s">
        <v>18</v>
      </c>
      <c r="J3" s="8"/>
      <c r="K3" s="8"/>
      <c r="L3" s="8"/>
      <c r="M3" s="8"/>
      <c r="N3" s="8"/>
      <c r="O3" s="8"/>
      <c r="P3" s="8"/>
      <c r="Q3" s="8"/>
    </row>
    <row r="4" spans="1:17" ht="34.5" customHeight="1" x14ac:dyDescent="0.2">
      <c r="A4" s="3" t="s">
        <v>9</v>
      </c>
      <c r="B4" s="4" t="s">
        <v>19</v>
      </c>
      <c r="C4" s="5">
        <v>45604</v>
      </c>
      <c r="D4" s="6" t="s">
        <v>20</v>
      </c>
      <c r="E4" s="6" t="s">
        <v>21</v>
      </c>
      <c r="F4" s="4" t="s">
        <v>22</v>
      </c>
      <c r="G4" s="7">
        <v>45901</v>
      </c>
      <c r="H4" s="4" t="s">
        <v>14</v>
      </c>
      <c r="I4" s="4" t="s">
        <v>18</v>
      </c>
      <c r="J4" s="8"/>
      <c r="K4" s="31" t="s">
        <v>23</v>
      </c>
      <c r="L4" s="32" t="s">
        <v>24</v>
      </c>
      <c r="M4" s="32" t="s">
        <v>25</v>
      </c>
      <c r="N4" s="32" t="s">
        <v>26</v>
      </c>
      <c r="O4" s="33" t="s">
        <v>27</v>
      </c>
      <c r="P4" s="8"/>
      <c r="Q4" s="8"/>
    </row>
    <row r="5" spans="1:17" ht="15" x14ac:dyDescent="0.2">
      <c r="A5" s="3" t="s">
        <v>9</v>
      </c>
      <c r="B5" s="4" t="s">
        <v>28</v>
      </c>
      <c r="C5" s="5">
        <v>45616</v>
      </c>
      <c r="D5" s="6" t="s">
        <v>11</v>
      </c>
      <c r="E5" s="6" t="s">
        <v>17</v>
      </c>
      <c r="F5" s="4" t="s">
        <v>13</v>
      </c>
      <c r="G5" s="7">
        <v>45901</v>
      </c>
      <c r="H5" s="4" t="s">
        <v>14</v>
      </c>
      <c r="I5" s="4" t="s">
        <v>18</v>
      </c>
      <c r="J5" s="8"/>
      <c r="K5" s="34" t="s">
        <v>29</v>
      </c>
      <c r="L5" s="35">
        <v>44</v>
      </c>
      <c r="M5" s="35">
        <v>9</v>
      </c>
      <c r="N5" s="35"/>
      <c r="O5" s="36">
        <f t="shared" ref="O5:O7" si="0">M5/L5</f>
        <v>0.20454545454545456</v>
      </c>
      <c r="P5" s="8"/>
      <c r="Q5" s="8"/>
    </row>
    <row r="6" spans="1:17" ht="15.75" customHeight="1" x14ac:dyDescent="0.25">
      <c r="A6" s="3" t="s">
        <v>9</v>
      </c>
      <c r="B6" s="15" t="s">
        <v>30</v>
      </c>
      <c r="C6" s="5">
        <v>45574</v>
      </c>
      <c r="D6" s="6" t="s">
        <v>20</v>
      </c>
      <c r="E6" s="6"/>
      <c r="F6" s="4" t="s">
        <v>31</v>
      </c>
      <c r="G6" s="7">
        <v>45778</v>
      </c>
      <c r="H6" s="4" t="s">
        <v>14</v>
      </c>
      <c r="I6" s="24" t="s">
        <v>32</v>
      </c>
      <c r="J6" s="8"/>
      <c r="K6" s="34" t="s">
        <v>33</v>
      </c>
      <c r="L6" s="35">
        <v>28</v>
      </c>
      <c r="M6" s="35">
        <v>16</v>
      </c>
      <c r="N6" s="35"/>
      <c r="O6" s="36">
        <f t="shared" si="0"/>
        <v>0.5714285714285714</v>
      </c>
      <c r="P6" s="8"/>
      <c r="Q6" s="8"/>
    </row>
    <row r="7" spans="1:17" ht="15.75" customHeight="1" x14ac:dyDescent="0.25">
      <c r="A7" s="3" t="s">
        <v>9</v>
      </c>
      <c r="B7" s="15" t="s">
        <v>34</v>
      </c>
      <c r="C7" s="5">
        <v>45580</v>
      </c>
      <c r="D7" s="6" t="s">
        <v>20</v>
      </c>
      <c r="E7" s="6"/>
      <c r="F7" s="4" t="s">
        <v>13</v>
      </c>
      <c r="G7" s="7">
        <v>45901</v>
      </c>
      <c r="H7" s="4" t="s">
        <v>14</v>
      </c>
      <c r="I7" s="4" t="s">
        <v>90</v>
      </c>
      <c r="J7" s="8"/>
      <c r="K7" s="34" t="s">
        <v>36</v>
      </c>
      <c r="L7" s="35">
        <v>16</v>
      </c>
      <c r="M7" s="35">
        <v>1</v>
      </c>
      <c r="N7" s="35"/>
      <c r="O7" s="36">
        <f t="shared" si="0"/>
        <v>6.25E-2</v>
      </c>
      <c r="P7" s="8"/>
      <c r="Q7" s="8"/>
    </row>
    <row r="8" spans="1:17" ht="15" customHeight="1" x14ac:dyDescent="0.2">
      <c r="A8" s="3" t="s">
        <v>9</v>
      </c>
      <c r="B8" s="16" t="s">
        <v>37</v>
      </c>
      <c r="C8" s="5">
        <v>45574</v>
      </c>
      <c r="D8" s="6" t="s">
        <v>11</v>
      </c>
      <c r="E8" s="6" t="s">
        <v>38</v>
      </c>
      <c r="F8" s="4" t="s">
        <v>13</v>
      </c>
      <c r="G8" s="7">
        <v>45901</v>
      </c>
      <c r="H8" s="4" t="s">
        <v>39</v>
      </c>
      <c r="I8" s="4" t="s">
        <v>90</v>
      </c>
      <c r="J8" s="8"/>
      <c r="K8" s="34"/>
      <c r="L8" s="35"/>
      <c r="M8" s="35"/>
      <c r="N8" s="35"/>
      <c r="O8" s="36"/>
      <c r="P8" s="8"/>
      <c r="Q8" s="8"/>
    </row>
    <row r="9" spans="1:17" ht="15.75" customHeight="1" thickBot="1" x14ac:dyDescent="0.25">
      <c r="A9" s="3" t="s">
        <v>9</v>
      </c>
      <c r="B9" s="4" t="s">
        <v>41</v>
      </c>
      <c r="C9" s="5">
        <v>45595</v>
      </c>
      <c r="D9" s="6" t="s">
        <v>20</v>
      </c>
      <c r="E9" s="6" t="s">
        <v>42</v>
      </c>
      <c r="F9" s="4" t="s">
        <v>43</v>
      </c>
      <c r="G9" s="7">
        <v>45778</v>
      </c>
      <c r="H9" s="4" t="s">
        <v>39</v>
      </c>
      <c r="I9" s="4" t="s">
        <v>18</v>
      </c>
      <c r="J9" s="8"/>
      <c r="K9" s="37" t="s">
        <v>45</v>
      </c>
      <c r="L9" s="38">
        <v>1</v>
      </c>
      <c r="M9" s="38"/>
      <c r="N9" s="38"/>
      <c r="O9" s="39">
        <f>M9/L9</f>
        <v>0</v>
      </c>
      <c r="P9" s="8"/>
      <c r="Q9" s="8"/>
    </row>
    <row r="10" spans="1:17" thickBot="1" x14ac:dyDescent="0.25">
      <c r="A10" s="3" t="s">
        <v>9</v>
      </c>
      <c r="B10" s="4" t="s">
        <v>46</v>
      </c>
      <c r="C10" s="5">
        <v>45611</v>
      </c>
      <c r="D10" s="6" t="s">
        <v>20</v>
      </c>
      <c r="E10" s="6" t="s">
        <v>21</v>
      </c>
      <c r="F10" s="4" t="s">
        <v>13</v>
      </c>
      <c r="G10" s="7">
        <v>45778</v>
      </c>
      <c r="H10" s="4" t="s">
        <v>39</v>
      </c>
      <c r="I10" s="24" t="s">
        <v>91</v>
      </c>
      <c r="J10" s="8"/>
      <c r="K10" s="40" t="s">
        <v>92</v>
      </c>
      <c r="L10" s="41">
        <f>SUM(L5:L9)</f>
        <v>89</v>
      </c>
      <c r="M10" s="41">
        <f>SUM(M5:M9)</f>
        <v>26</v>
      </c>
      <c r="N10" s="41"/>
      <c r="O10" s="42">
        <f>M10/L10</f>
        <v>0.29213483146067415</v>
      </c>
      <c r="P10" s="8"/>
      <c r="Q10" s="8"/>
    </row>
    <row r="11" spans="1:17" ht="15" x14ac:dyDescent="0.2">
      <c r="A11" s="3"/>
      <c r="B11" s="4"/>
      <c r="C11" s="5"/>
      <c r="D11" s="6"/>
      <c r="E11" s="6"/>
      <c r="F11" s="4"/>
      <c r="G11" s="7"/>
      <c r="H11" s="7"/>
      <c r="I11" s="4"/>
      <c r="J11" s="8"/>
      <c r="K11" s="46" t="s">
        <v>97</v>
      </c>
      <c r="L11" s="43"/>
      <c r="M11" s="43"/>
      <c r="N11" s="43"/>
      <c r="O11" s="44"/>
      <c r="P11" s="8"/>
      <c r="Q11" s="8"/>
    </row>
    <row r="12" spans="1:17" ht="15" x14ac:dyDescent="0.2">
      <c r="A12" s="3" t="s">
        <v>48</v>
      </c>
      <c r="B12" s="4" t="s">
        <v>49</v>
      </c>
      <c r="C12" s="23">
        <v>45360</v>
      </c>
      <c r="D12" s="6" t="s">
        <v>50</v>
      </c>
      <c r="E12" s="6" t="s">
        <v>17</v>
      </c>
      <c r="F12" s="4" t="s">
        <v>51</v>
      </c>
      <c r="G12" s="7">
        <v>45778</v>
      </c>
      <c r="H12" s="4" t="s">
        <v>14</v>
      </c>
      <c r="I12" s="24" t="s">
        <v>52</v>
      </c>
      <c r="J12" s="8"/>
      <c r="K12" s="45"/>
      <c r="L12" s="45"/>
      <c r="M12" s="45"/>
      <c r="N12" s="45"/>
      <c r="O12" s="45"/>
      <c r="P12" s="8"/>
      <c r="Q12" s="8"/>
    </row>
    <row r="13" spans="1:17" ht="13.5" thickBot="1" x14ac:dyDescent="0.25">
      <c r="A13" s="3" t="s">
        <v>48</v>
      </c>
      <c r="B13" s="4" t="s">
        <v>53</v>
      </c>
      <c r="C13" s="5">
        <v>45366</v>
      </c>
      <c r="D13" s="6" t="s">
        <v>50</v>
      </c>
      <c r="E13" s="6" t="s">
        <v>42</v>
      </c>
      <c r="F13" s="4" t="s">
        <v>54</v>
      </c>
      <c r="G13" s="7">
        <v>45778</v>
      </c>
      <c r="H13" s="4" t="s">
        <v>14</v>
      </c>
      <c r="I13" s="24" t="s">
        <v>18</v>
      </c>
      <c r="J13" s="8"/>
      <c r="K13" s="8"/>
      <c r="L13" s="8"/>
      <c r="M13" s="8"/>
      <c r="N13" s="8"/>
      <c r="O13" s="8"/>
      <c r="P13" s="8"/>
      <c r="Q13" s="8"/>
    </row>
    <row r="14" spans="1:17" x14ac:dyDescent="0.25">
      <c r="A14" s="3" t="s">
        <v>48</v>
      </c>
      <c r="B14" s="4" t="s">
        <v>56</v>
      </c>
      <c r="C14" s="5">
        <v>45369</v>
      </c>
      <c r="D14" s="6" t="s">
        <v>20</v>
      </c>
      <c r="E14" s="6" t="s">
        <v>21</v>
      </c>
      <c r="F14" s="4" t="s">
        <v>57</v>
      </c>
      <c r="G14" s="7">
        <v>45931</v>
      </c>
      <c r="H14" s="4" t="s">
        <v>14</v>
      </c>
      <c r="I14" s="4" t="s">
        <v>58</v>
      </c>
      <c r="J14" s="8"/>
      <c r="L14" s="25" t="s">
        <v>94</v>
      </c>
      <c r="M14" s="26"/>
      <c r="N14" s="8"/>
      <c r="O14" s="8"/>
      <c r="P14" s="8"/>
      <c r="Q14" s="8"/>
    </row>
    <row r="15" spans="1:17" ht="15" x14ac:dyDescent="0.2">
      <c r="A15" s="3" t="s">
        <v>48</v>
      </c>
      <c r="B15" s="4" t="s">
        <v>59</v>
      </c>
      <c r="C15" s="5">
        <v>45372</v>
      </c>
      <c r="D15" s="6" t="s">
        <v>50</v>
      </c>
      <c r="E15" s="6" t="s">
        <v>60</v>
      </c>
      <c r="F15" s="4" t="s">
        <v>51</v>
      </c>
      <c r="G15" s="7">
        <v>45931</v>
      </c>
      <c r="H15" s="4" t="s">
        <v>14</v>
      </c>
      <c r="I15" s="4" t="s">
        <v>18</v>
      </c>
      <c r="J15" s="8"/>
      <c r="L15" s="27" t="s">
        <v>98</v>
      </c>
      <c r="M15" s="28">
        <f>COUNTIF(I:I,"Due to insufficient funds")</f>
        <v>10</v>
      </c>
      <c r="N15" s="8"/>
      <c r="O15" s="8"/>
      <c r="P15" s="8"/>
      <c r="Q15" s="8"/>
    </row>
    <row r="16" spans="1:17" ht="15" x14ac:dyDescent="0.2">
      <c r="A16" s="3" t="s">
        <v>48</v>
      </c>
      <c r="B16" s="4" t="s">
        <v>61</v>
      </c>
      <c r="C16" s="5">
        <v>45372</v>
      </c>
      <c r="D16" s="6" t="s">
        <v>62</v>
      </c>
      <c r="E16" s="6" t="s">
        <v>63</v>
      </c>
      <c r="F16" s="4" t="s">
        <v>51</v>
      </c>
      <c r="G16" s="7">
        <v>45901</v>
      </c>
      <c r="H16" s="4" t="s">
        <v>14</v>
      </c>
      <c r="I16" s="4" t="s">
        <v>64</v>
      </c>
      <c r="J16" s="8"/>
      <c r="L16" s="27" t="s">
        <v>90</v>
      </c>
      <c r="M16" s="28">
        <f>COUNTIF(I:I,"Unresponsive")</f>
        <v>2</v>
      </c>
      <c r="N16" s="8"/>
      <c r="O16" s="8"/>
      <c r="P16" s="8"/>
      <c r="Q16" s="8"/>
    </row>
    <row r="17" spans="1:17" ht="15" x14ac:dyDescent="0.2">
      <c r="A17" s="3" t="s">
        <v>48</v>
      </c>
      <c r="B17" s="4" t="s">
        <v>65</v>
      </c>
      <c r="C17" s="5">
        <v>45377</v>
      </c>
      <c r="D17" s="6" t="s">
        <v>62</v>
      </c>
      <c r="E17" s="6" t="s">
        <v>63</v>
      </c>
      <c r="F17" s="4" t="s">
        <v>51</v>
      </c>
      <c r="G17" s="7">
        <v>45901</v>
      </c>
      <c r="H17" s="4" t="s">
        <v>14</v>
      </c>
      <c r="I17" s="4" t="s">
        <v>18</v>
      </c>
      <c r="J17" s="8"/>
      <c r="L17" s="27" t="s">
        <v>95</v>
      </c>
      <c r="M17" s="28">
        <v>3</v>
      </c>
      <c r="N17" s="8"/>
      <c r="O17" s="8"/>
      <c r="P17" s="8"/>
      <c r="Q17" s="8"/>
    </row>
    <row r="18" spans="1:17" ht="15" x14ac:dyDescent="0.2">
      <c r="A18" s="3" t="s">
        <v>48</v>
      </c>
      <c r="B18" s="4" t="s">
        <v>66</v>
      </c>
      <c r="C18" s="5">
        <v>45378</v>
      </c>
      <c r="D18" s="6" t="s">
        <v>62</v>
      </c>
      <c r="E18" s="6" t="s">
        <v>17</v>
      </c>
      <c r="F18" s="4" t="s">
        <v>51</v>
      </c>
      <c r="G18" s="7">
        <v>45778</v>
      </c>
      <c r="H18" s="4" t="s">
        <v>14</v>
      </c>
      <c r="I18" s="24" t="s">
        <v>67</v>
      </c>
      <c r="J18" s="8"/>
      <c r="L18" s="27" t="s">
        <v>96</v>
      </c>
      <c r="M18" s="28">
        <v>11</v>
      </c>
      <c r="N18" s="8"/>
      <c r="O18" s="8"/>
      <c r="P18" s="8"/>
      <c r="Q18" s="8"/>
    </row>
    <row r="19" spans="1:17" thickBot="1" x14ac:dyDescent="0.25">
      <c r="A19" s="3" t="s">
        <v>48</v>
      </c>
      <c r="B19" s="4" t="s">
        <v>68</v>
      </c>
      <c r="C19" s="5">
        <v>45381</v>
      </c>
      <c r="D19" s="6" t="s">
        <v>50</v>
      </c>
      <c r="E19" s="6" t="s">
        <v>63</v>
      </c>
      <c r="F19" s="4" t="s">
        <v>69</v>
      </c>
      <c r="G19" s="7">
        <v>45901</v>
      </c>
      <c r="H19" s="4" t="s">
        <v>14</v>
      </c>
      <c r="I19" s="24" t="s">
        <v>70</v>
      </c>
      <c r="J19" s="8"/>
      <c r="L19" s="29" t="s">
        <v>92</v>
      </c>
      <c r="M19" s="30">
        <f>SUM(M15:M18)</f>
        <v>26</v>
      </c>
      <c r="N19" s="8"/>
      <c r="O19" s="8"/>
      <c r="P19" s="8"/>
      <c r="Q19" s="8"/>
    </row>
    <row r="20" spans="1:17" ht="12.75" x14ac:dyDescent="0.2">
      <c r="A20" s="3" t="s">
        <v>48</v>
      </c>
      <c r="B20" s="4" t="s">
        <v>71</v>
      </c>
      <c r="C20" s="5">
        <v>45394</v>
      </c>
      <c r="D20" s="6" t="s">
        <v>20</v>
      </c>
      <c r="E20" s="6" t="s">
        <v>60</v>
      </c>
      <c r="F20" s="4" t="s">
        <v>51</v>
      </c>
      <c r="G20" s="7">
        <v>45901</v>
      </c>
      <c r="H20" s="4" t="s">
        <v>14</v>
      </c>
      <c r="I20" s="24" t="s">
        <v>67</v>
      </c>
      <c r="J20" s="8"/>
      <c r="K20" s="8"/>
      <c r="L20" s="8"/>
      <c r="M20" s="8"/>
      <c r="N20" s="8"/>
      <c r="O20" s="8"/>
      <c r="P20" s="8"/>
      <c r="Q20" s="8"/>
    </row>
    <row r="21" spans="1:17" ht="12.75" x14ac:dyDescent="0.2">
      <c r="A21" s="3" t="s">
        <v>48</v>
      </c>
      <c r="B21" s="4" t="s">
        <v>72</v>
      </c>
      <c r="C21" s="5">
        <v>45395</v>
      </c>
      <c r="D21" s="6" t="s">
        <v>20</v>
      </c>
      <c r="E21" s="6" t="s">
        <v>21</v>
      </c>
      <c r="F21" s="4" t="s">
        <v>51</v>
      </c>
      <c r="G21" s="7">
        <v>45901</v>
      </c>
      <c r="H21" s="4" t="s">
        <v>14</v>
      </c>
      <c r="I21" s="24" t="s">
        <v>67</v>
      </c>
      <c r="J21" s="8"/>
      <c r="K21" s="8"/>
      <c r="L21" s="8"/>
      <c r="M21" s="8"/>
      <c r="N21" s="8"/>
      <c r="O21" s="8"/>
      <c r="P21" s="8"/>
      <c r="Q21" s="8"/>
    </row>
    <row r="22" spans="1:17" ht="12.75" x14ac:dyDescent="0.2">
      <c r="A22" s="3" t="s">
        <v>48</v>
      </c>
      <c r="B22" s="4" t="s">
        <v>73</v>
      </c>
      <c r="C22" s="5">
        <v>45401</v>
      </c>
      <c r="D22" s="6" t="s">
        <v>11</v>
      </c>
      <c r="E22" s="6" t="s">
        <v>60</v>
      </c>
      <c r="F22" s="4" t="s">
        <v>57</v>
      </c>
      <c r="G22" s="7">
        <v>45931</v>
      </c>
      <c r="H22" s="4" t="s">
        <v>14</v>
      </c>
      <c r="I22" s="24" t="s">
        <v>74</v>
      </c>
      <c r="J22" s="8"/>
      <c r="K22" s="8"/>
      <c r="L22" s="8"/>
      <c r="M22" s="8"/>
      <c r="N22" s="8"/>
      <c r="O22" s="8"/>
      <c r="P22" s="8"/>
      <c r="Q22" s="8"/>
    </row>
    <row r="23" spans="1:17" ht="12.75" x14ac:dyDescent="0.2">
      <c r="A23" s="3" t="s">
        <v>48</v>
      </c>
      <c r="B23" s="4" t="s">
        <v>75</v>
      </c>
      <c r="C23" s="5">
        <v>45403</v>
      </c>
      <c r="D23" s="6" t="s">
        <v>20</v>
      </c>
      <c r="E23" s="6" t="s">
        <v>76</v>
      </c>
      <c r="F23" s="4" t="s">
        <v>77</v>
      </c>
      <c r="G23" s="7">
        <v>45778</v>
      </c>
      <c r="H23" s="4" t="s">
        <v>14</v>
      </c>
      <c r="I23" s="4" t="s">
        <v>18</v>
      </c>
      <c r="J23" s="8"/>
      <c r="K23" s="8"/>
      <c r="L23" s="8"/>
      <c r="M23" s="8"/>
      <c r="N23" s="8"/>
      <c r="O23" s="8"/>
      <c r="P23" s="8"/>
      <c r="Q23" s="8"/>
    </row>
    <row r="24" spans="1:17" ht="12.75" x14ac:dyDescent="0.2">
      <c r="A24" s="3" t="s">
        <v>48</v>
      </c>
      <c r="B24" s="4" t="s">
        <v>78</v>
      </c>
      <c r="C24" s="5">
        <v>45443</v>
      </c>
      <c r="D24" s="6" t="s">
        <v>79</v>
      </c>
      <c r="E24" s="6" t="s">
        <v>80</v>
      </c>
      <c r="F24" s="4" t="s">
        <v>54</v>
      </c>
      <c r="G24" s="7">
        <v>45901</v>
      </c>
      <c r="H24" s="4" t="s">
        <v>14</v>
      </c>
      <c r="I24" s="4" t="s">
        <v>18</v>
      </c>
      <c r="J24" s="8"/>
      <c r="K24" s="8"/>
      <c r="L24" s="8"/>
      <c r="M24" s="8"/>
      <c r="N24" s="8"/>
      <c r="O24" s="8"/>
      <c r="P24" s="8"/>
      <c r="Q24" s="8"/>
    </row>
    <row r="25" spans="1:17" ht="12.75" x14ac:dyDescent="0.2">
      <c r="A25" s="3" t="s">
        <v>48</v>
      </c>
      <c r="B25" s="4" t="s">
        <v>81</v>
      </c>
      <c r="C25" s="5">
        <v>45470</v>
      </c>
      <c r="D25" s="6" t="s">
        <v>82</v>
      </c>
      <c r="E25" s="6" t="s">
        <v>83</v>
      </c>
      <c r="F25" s="4" t="s">
        <v>54</v>
      </c>
      <c r="G25" s="7">
        <v>45901</v>
      </c>
      <c r="H25" s="4" t="s">
        <v>14</v>
      </c>
      <c r="I25" s="4" t="s">
        <v>52</v>
      </c>
      <c r="J25" s="8"/>
      <c r="K25" s="8"/>
      <c r="L25" s="8"/>
      <c r="M25" s="8"/>
      <c r="N25" s="8"/>
      <c r="O25" s="8"/>
      <c r="P25" s="8"/>
      <c r="Q25" s="8"/>
    </row>
    <row r="26" spans="1:17" ht="12.75" x14ac:dyDescent="0.2">
      <c r="A26" s="3" t="s">
        <v>48</v>
      </c>
      <c r="B26" s="4" t="s">
        <v>84</v>
      </c>
      <c r="C26" s="5">
        <v>45490</v>
      </c>
      <c r="D26" s="6" t="s">
        <v>62</v>
      </c>
      <c r="E26" s="6" t="s">
        <v>42</v>
      </c>
      <c r="F26" s="4" t="s">
        <v>57</v>
      </c>
      <c r="G26" s="7">
        <v>45748</v>
      </c>
      <c r="H26" s="4" t="s">
        <v>14</v>
      </c>
      <c r="I26" s="4" t="s">
        <v>85</v>
      </c>
      <c r="J26" s="8"/>
      <c r="K26" s="8"/>
      <c r="L26" s="8"/>
      <c r="M26" s="8"/>
      <c r="N26" s="8"/>
      <c r="O26" s="8"/>
      <c r="P26" s="8"/>
      <c r="Q26" s="8"/>
    </row>
    <row r="27" spans="1:17" ht="12.75" x14ac:dyDescent="0.2">
      <c r="A27" s="3" t="s">
        <v>48</v>
      </c>
      <c r="B27" s="4" t="s">
        <v>86</v>
      </c>
      <c r="C27" s="5">
        <v>45505</v>
      </c>
      <c r="D27" s="6" t="s">
        <v>50</v>
      </c>
      <c r="E27" s="6" t="s">
        <v>12</v>
      </c>
      <c r="F27" s="4" t="s">
        <v>51</v>
      </c>
      <c r="G27" s="7">
        <v>45778</v>
      </c>
      <c r="H27" s="4" t="s">
        <v>14</v>
      </c>
      <c r="I27" s="4" t="s">
        <v>18</v>
      </c>
      <c r="J27" s="8"/>
      <c r="K27" s="8"/>
      <c r="L27" s="8"/>
      <c r="M27" s="8"/>
      <c r="N27" s="8"/>
      <c r="O27" s="8"/>
      <c r="P27" s="8"/>
      <c r="Q27" s="8"/>
    </row>
    <row r="28" spans="1:17" ht="12.75" x14ac:dyDescent="0.2">
      <c r="A28" s="3"/>
      <c r="B28" s="4"/>
      <c r="C28" s="4"/>
      <c r="D28" s="6"/>
      <c r="E28" s="6"/>
      <c r="F28" s="4"/>
      <c r="G28" s="4"/>
      <c r="H28" s="7"/>
      <c r="I28" s="4"/>
      <c r="J28" s="8"/>
      <c r="K28" s="8"/>
      <c r="L28" s="8"/>
      <c r="M28" s="8"/>
      <c r="N28" s="8"/>
      <c r="O28" s="8"/>
      <c r="P28" s="8"/>
      <c r="Q28" s="8"/>
    </row>
    <row r="29" spans="1:17" ht="12.75" x14ac:dyDescent="0.2">
      <c r="A29" s="3" t="s">
        <v>87</v>
      </c>
      <c r="B29" s="4" t="s">
        <v>88</v>
      </c>
      <c r="C29" s="5">
        <v>45590</v>
      </c>
      <c r="D29" s="6" t="s">
        <v>20</v>
      </c>
      <c r="E29" s="6" t="s">
        <v>17</v>
      </c>
      <c r="F29" s="4" t="s">
        <v>89</v>
      </c>
      <c r="G29" s="7">
        <v>45717</v>
      </c>
      <c r="H29" s="4" t="s">
        <v>14</v>
      </c>
      <c r="I29" s="24" t="s">
        <v>67</v>
      </c>
      <c r="J29" s="8"/>
      <c r="K29" s="8"/>
      <c r="L29" s="8"/>
      <c r="M29" s="8"/>
      <c r="N29" s="8"/>
      <c r="O29" s="8"/>
      <c r="P29" s="8"/>
      <c r="Q29" s="8"/>
    </row>
    <row r="30" spans="1:17" ht="12.75" x14ac:dyDescent="0.2">
      <c r="A30" s="3"/>
      <c r="B30" s="4"/>
      <c r="C30" s="4"/>
      <c r="D30" s="6"/>
      <c r="E30" s="6"/>
      <c r="F30" s="4"/>
      <c r="G30" s="4"/>
      <c r="H30" s="7"/>
      <c r="I30" s="4"/>
      <c r="J30" s="8"/>
      <c r="K30" s="8"/>
      <c r="L30" s="8"/>
      <c r="M30" s="8"/>
      <c r="N30" s="8"/>
      <c r="O30" s="8"/>
      <c r="P30" s="8"/>
      <c r="Q30" s="8"/>
    </row>
    <row r="31" spans="1:17" ht="12.75" x14ac:dyDescent="0.2">
      <c r="A31" s="3"/>
      <c r="B31" s="4"/>
      <c r="C31" s="5"/>
      <c r="D31" s="6"/>
      <c r="E31" s="6"/>
      <c r="F31" s="4"/>
      <c r="G31" s="7"/>
      <c r="H31" s="4"/>
      <c r="I31" s="4"/>
      <c r="J31" s="8"/>
      <c r="K31" s="8"/>
      <c r="L31" s="8"/>
      <c r="M31" s="8"/>
      <c r="N31" s="8"/>
      <c r="O31" s="8"/>
      <c r="P31" s="8"/>
      <c r="Q31" s="8"/>
    </row>
    <row r="32" spans="1:17" ht="12.75" x14ac:dyDescent="0.2">
      <c r="A32" s="3"/>
      <c r="B32" s="4"/>
      <c r="C32" s="5"/>
      <c r="D32" s="6"/>
      <c r="E32" s="6"/>
      <c r="F32" s="4"/>
      <c r="G32" s="7"/>
      <c r="H32" s="4"/>
      <c r="I32" s="4"/>
      <c r="J32" s="8"/>
      <c r="K32" s="8"/>
      <c r="L32" s="8"/>
      <c r="M32" s="8"/>
      <c r="N32" s="8"/>
      <c r="O32" s="8"/>
      <c r="P32" s="8"/>
      <c r="Q32" s="8"/>
    </row>
    <row r="33" spans="1:17" ht="12.75" x14ac:dyDescent="0.2">
      <c r="A33" s="3"/>
      <c r="B33" s="4"/>
      <c r="C33" s="4"/>
      <c r="D33" s="6"/>
      <c r="E33" s="6"/>
      <c r="F33" s="4"/>
      <c r="G33" s="4"/>
      <c r="H33" s="7"/>
      <c r="I33" s="4"/>
      <c r="J33" s="8"/>
      <c r="K33" s="8"/>
      <c r="L33" s="8"/>
      <c r="M33" s="8"/>
      <c r="N33" s="8"/>
      <c r="O33" s="8"/>
      <c r="P33" s="8"/>
      <c r="Q33" s="8"/>
    </row>
    <row r="34" spans="1:17" ht="12.75" x14ac:dyDescent="0.2">
      <c r="A34" s="3"/>
      <c r="B34" s="4"/>
      <c r="C34" s="4"/>
      <c r="D34" s="6"/>
      <c r="E34" s="6"/>
      <c r="F34" s="4"/>
      <c r="G34" s="4"/>
      <c r="H34" s="7"/>
      <c r="I34" s="4"/>
      <c r="J34" s="8"/>
      <c r="K34" s="8"/>
      <c r="L34" s="8"/>
      <c r="M34" s="8"/>
      <c r="N34" s="8"/>
      <c r="O34" s="8"/>
      <c r="P34" s="8"/>
      <c r="Q34" s="8"/>
    </row>
    <row r="35" spans="1:17" ht="12.75" x14ac:dyDescent="0.2">
      <c r="A35" s="3"/>
      <c r="B35" s="4"/>
      <c r="C35" s="4"/>
      <c r="D35" s="6"/>
      <c r="E35" s="6"/>
      <c r="F35" s="4"/>
      <c r="G35" s="4"/>
      <c r="H35" s="7"/>
      <c r="I35" s="4"/>
      <c r="J35" s="8"/>
      <c r="K35" s="8"/>
      <c r="L35" s="8"/>
      <c r="M35" s="8"/>
      <c r="N35" s="8"/>
      <c r="O35" s="8"/>
      <c r="P35" s="8"/>
      <c r="Q35" s="8"/>
    </row>
    <row r="36" spans="1:17" ht="12.75" x14ac:dyDescent="0.2">
      <c r="A36" s="3"/>
      <c r="B36" s="4"/>
      <c r="C36" s="4"/>
      <c r="D36" s="6"/>
      <c r="E36" s="6"/>
      <c r="F36" s="4"/>
      <c r="G36" s="4"/>
      <c r="H36" s="7"/>
      <c r="I36" s="4"/>
      <c r="J36" s="8"/>
      <c r="K36" s="8"/>
      <c r="L36" s="8"/>
      <c r="M36" s="8"/>
      <c r="N36" s="8"/>
      <c r="O36" s="8"/>
      <c r="P36" s="8"/>
      <c r="Q36" s="8"/>
    </row>
    <row r="37" spans="1:17" ht="12.75" x14ac:dyDescent="0.2">
      <c r="A37" s="3"/>
      <c r="B37" s="4"/>
      <c r="C37" s="4"/>
      <c r="D37" s="6"/>
      <c r="E37" s="6"/>
      <c r="F37" s="4"/>
      <c r="G37" s="4"/>
      <c r="H37" s="7"/>
      <c r="I37" s="4"/>
      <c r="J37" s="8"/>
      <c r="K37" s="8"/>
      <c r="L37" s="8"/>
      <c r="M37" s="8"/>
      <c r="N37" s="8"/>
      <c r="O37" s="8"/>
      <c r="P37" s="8"/>
      <c r="Q37" s="8"/>
    </row>
    <row r="38" spans="1:17" ht="12.75" x14ac:dyDescent="0.2">
      <c r="A38" s="3"/>
      <c r="B38" s="4"/>
      <c r="C38" s="4"/>
      <c r="D38" s="6"/>
      <c r="E38" s="6"/>
      <c r="F38" s="4"/>
      <c r="G38" s="4"/>
      <c r="H38" s="7"/>
      <c r="I38" s="4"/>
      <c r="J38" s="8"/>
      <c r="K38" s="8"/>
      <c r="L38" s="8"/>
      <c r="M38" s="8"/>
      <c r="N38" s="8"/>
      <c r="O38" s="8"/>
      <c r="P38" s="8"/>
      <c r="Q38" s="8"/>
    </row>
    <row r="39" spans="1:17" ht="12.75" x14ac:dyDescent="0.2">
      <c r="A39" s="3"/>
      <c r="B39" s="4"/>
      <c r="C39" s="4"/>
      <c r="D39" s="6"/>
      <c r="E39" s="6"/>
      <c r="F39" s="4"/>
      <c r="G39" s="4"/>
      <c r="H39" s="7"/>
      <c r="I39" s="4"/>
      <c r="J39" s="8"/>
      <c r="K39" s="8"/>
      <c r="L39" s="8"/>
      <c r="M39" s="8"/>
      <c r="N39" s="8"/>
      <c r="O39" s="8"/>
      <c r="P39" s="8"/>
      <c r="Q39" s="8"/>
    </row>
    <row r="40" spans="1:17" ht="12.75" x14ac:dyDescent="0.2">
      <c r="A40" s="3"/>
      <c r="B40" s="4"/>
      <c r="C40" s="4"/>
      <c r="D40" s="6"/>
      <c r="E40" s="6"/>
      <c r="F40" s="4"/>
      <c r="G40" s="4"/>
      <c r="H40" s="7"/>
      <c r="I40" s="4"/>
      <c r="J40" s="8"/>
      <c r="K40" s="8"/>
      <c r="L40" s="8"/>
      <c r="M40" s="8"/>
      <c r="N40" s="8"/>
      <c r="O40" s="8"/>
      <c r="P40" s="8"/>
      <c r="Q40" s="8"/>
    </row>
    <row r="41" spans="1:17" ht="12.75" x14ac:dyDescent="0.2">
      <c r="A41" s="3"/>
      <c r="B41" s="4"/>
      <c r="C41" s="4"/>
      <c r="D41" s="6"/>
      <c r="E41" s="6"/>
      <c r="F41" s="4"/>
      <c r="G41" s="4"/>
      <c r="H41" s="7"/>
      <c r="I41" s="4"/>
      <c r="J41" s="8"/>
      <c r="K41" s="8"/>
      <c r="L41" s="8"/>
      <c r="M41" s="8"/>
      <c r="N41" s="8"/>
      <c r="O41" s="8"/>
      <c r="P41" s="8"/>
      <c r="Q41" s="8"/>
    </row>
    <row r="42" spans="1:17" ht="12.75" x14ac:dyDescent="0.2">
      <c r="A42" s="3"/>
      <c r="B42" s="4"/>
      <c r="C42" s="4"/>
      <c r="D42" s="6"/>
      <c r="E42" s="6"/>
      <c r="F42" s="4"/>
      <c r="G42" s="4"/>
      <c r="H42" s="7"/>
      <c r="I42" s="4"/>
      <c r="J42" s="8"/>
      <c r="K42" s="8"/>
      <c r="L42" s="8"/>
      <c r="M42" s="8"/>
      <c r="N42" s="8"/>
      <c r="O42" s="8"/>
      <c r="P42" s="8"/>
      <c r="Q42" s="8"/>
    </row>
    <row r="43" spans="1:17" ht="12.75" x14ac:dyDescent="0.2">
      <c r="A43" s="3"/>
      <c r="B43" s="4"/>
      <c r="C43" s="4"/>
      <c r="D43" s="6"/>
      <c r="E43" s="6"/>
      <c r="F43" s="4"/>
      <c r="G43" s="4"/>
      <c r="H43" s="7"/>
      <c r="I43" s="4"/>
      <c r="J43" s="8"/>
      <c r="K43" s="8"/>
      <c r="L43" s="8"/>
      <c r="M43" s="8"/>
      <c r="N43" s="8"/>
      <c r="O43" s="8"/>
      <c r="P43" s="8"/>
      <c r="Q43" s="8"/>
    </row>
    <row r="44" spans="1:17" ht="12.75" x14ac:dyDescent="0.2">
      <c r="A44" s="3"/>
      <c r="B44" s="4"/>
      <c r="C44" s="4"/>
      <c r="D44" s="6"/>
      <c r="E44" s="6"/>
      <c r="F44" s="4"/>
      <c r="G44" s="4"/>
      <c r="H44" s="7"/>
      <c r="I44" s="4"/>
      <c r="J44" s="8"/>
      <c r="K44" s="8"/>
      <c r="L44" s="8"/>
      <c r="M44" s="8"/>
      <c r="N44" s="8"/>
      <c r="O44" s="8"/>
      <c r="P44" s="8"/>
      <c r="Q44" s="8"/>
    </row>
    <row r="45" spans="1:17" ht="12.75" x14ac:dyDescent="0.2">
      <c r="A45" s="3"/>
      <c r="B45" s="4"/>
      <c r="C45" s="4"/>
      <c r="D45" s="6"/>
      <c r="E45" s="6"/>
      <c r="F45" s="4"/>
      <c r="G45" s="4"/>
      <c r="H45" s="7"/>
      <c r="I45" s="4"/>
      <c r="J45" s="8"/>
      <c r="K45" s="8"/>
      <c r="L45" s="8"/>
      <c r="M45" s="8"/>
      <c r="N45" s="8"/>
      <c r="O45" s="8"/>
      <c r="P45" s="8"/>
      <c r="Q45" s="8"/>
    </row>
    <row r="46" spans="1:17" ht="12.75" x14ac:dyDescent="0.2">
      <c r="A46" s="3"/>
      <c r="B46" s="4"/>
      <c r="C46" s="4"/>
      <c r="D46" s="6"/>
      <c r="E46" s="6"/>
      <c r="F46" s="4"/>
      <c r="G46" s="4"/>
      <c r="H46" s="7"/>
      <c r="I46" s="4"/>
      <c r="J46" s="8"/>
      <c r="K46" s="8"/>
      <c r="L46" s="8"/>
      <c r="M46" s="8"/>
      <c r="N46" s="8"/>
      <c r="O46" s="8"/>
      <c r="P46" s="8"/>
      <c r="Q46" s="8"/>
    </row>
    <row r="47" spans="1:17" ht="12.75" x14ac:dyDescent="0.2">
      <c r="A47" s="3"/>
      <c r="B47" s="4"/>
      <c r="C47" s="4"/>
      <c r="D47" s="6"/>
      <c r="E47" s="6"/>
      <c r="F47" s="4"/>
      <c r="G47" s="4"/>
      <c r="H47" s="7"/>
      <c r="I47" s="4"/>
      <c r="J47" s="8"/>
      <c r="K47" s="8"/>
      <c r="L47" s="8"/>
      <c r="M47" s="8"/>
      <c r="N47" s="8"/>
      <c r="O47" s="8"/>
      <c r="P47" s="8"/>
      <c r="Q47" s="8"/>
    </row>
    <row r="48" spans="1:17" ht="12.75" x14ac:dyDescent="0.2">
      <c r="A48" s="3"/>
      <c r="B48" s="4"/>
      <c r="C48" s="4"/>
      <c r="D48" s="6"/>
      <c r="E48" s="6"/>
      <c r="F48" s="4"/>
      <c r="G48" s="4"/>
      <c r="H48" s="7"/>
      <c r="I48" s="4"/>
      <c r="J48" s="8"/>
      <c r="K48" s="8"/>
      <c r="L48" s="8"/>
      <c r="M48" s="8"/>
      <c r="N48" s="8"/>
      <c r="O48" s="8"/>
      <c r="P48" s="8"/>
      <c r="Q48" s="8"/>
    </row>
    <row r="49" spans="1:17" ht="12.75" x14ac:dyDescent="0.2">
      <c r="A49" s="3"/>
      <c r="B49" s="4"/>
      <c r="C49" s="4"/>
      <c r="D49" s="6"/>
      <c r="E49" s="6"/>
      <c r="F49" s="4"/>
      <c r="G49" s="4"/>
      <c r="H49" s="7"/>
      <c r="I49" s="4"/>
      <c r="J49" s="8"/>
      <c r="K49" s="8"/>
      <c r="L49" s="8"/>
      <c r="M49" s="8"/>
      <c r="N49" s="8"/>
      <c r="O49" s="8"/>
      <c r="P49" s="8"/>
      <c r="Q49" s="8"/>
    </row>
    <row r="50" spans="1:17" ht="12.75" x14ac:dyDescent="0.2">
      <c r="A50" s="3"/>
      <c r="B50" s="4"/>
      <c r="C50" s="4"/>
      <c r="D50" s="6"/>
      <c r="E50" s="6"/>
      <c r="F50" s="4"/>
      <c r="G50" s="4"/>
      <c r="H50" s="7"/>
      <c r="I50" s="4"/>
      <c r="J50" s="8"/>
      <c r="K50" s="8"/>
      <c r="L50" s="8"/>
      <c r="M50" s="8"/>
      <c r="N50" s="8"/>
      <c r="O50" s="8"/>
      <c r="P50" s="8"/>
      <c r="Q50" s="8"/>
    </row>
  </sheetData>
  <dataValidations count="4">
    <dataValidation type="list" allowBlank="1" showErrorMessage="1" sqref="D2:D10 D12:D50" xr:uid="{5B6C8CA2-0D3A-4042-84D3-E19D48B7AF50}">
      <formula1>"Venus,Don,Arvie,Kevin,RG,Katma"</formula1>
    </dataValidation>
    <dataValidation type="list" allowBlank="1" showErrorMessage="1" sqref="H2:H10 H12:H50" xr:uid="{9CF0F208-BFE7-4BEB-9C27-018331E69250}">
      <formula1>"Confirmed ,Possible"</formula1>
    </dataValidation>
    <dataValidation type="list" allowBlank="1" showErrorMessage="1" sqref="E2:E50" xr:uid="{7537FF7C-B998-47A0-84B8-CB25D5558C78}">
      <formula1>"Nicole,Mark,Roy,Rem,Rami,Kate,Ralph,Renz,Ianna,Rose,Joanne,PS Kobe,TL Chris,TL Liam,Franz"</formula1>
    </dataValidation>
    <dataValidation type="list" allowBlank="1" showErrorMessage="1" sqref="A2:A10 A12:A50" xr:uid="{F587DCA9-B364-4E01-9DAF-7288C17BBF6F}">
      <formula1>"Canada Study Program,UK Study Program,NZ Study Program,Singapore - Study Program"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 Lelou</cp:lastModifiedBy>
  <dcterms:modified xsi:type="dcterms:W3CDTF">2025-01-17T10:17:01Z</dcterms:modified>
</cp:coreProperties>
</file>